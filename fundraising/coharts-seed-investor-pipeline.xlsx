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ipeline" sheetId="2" state="visible" r:id="rId2"/>
    <sheet xmlns:r="http://schemas.openxmlformats.org/officeDocument/2006/relationships" name="Weights" sheetId="3" state="visible" r:id="rId3"/>
    <sheet xmlns:r="http://schemas.openxmlformats.org/officeDocument/2006/relationships" name="Sources" sheetId="4" state="visible" r:id="rId4"/>
  </sheets>
  <definedNames>
    <definedName name="_xlnm._FilterDatabase" localSheetId="1" hidden="1">'Pipeline'!$A$1:$AD$57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sz val="11"/>
    </font>
    <font>
      <name val="Arial"/>
      <b val="1"/>
      <color rgb="00FFFFFF"/>
      <sz val="10"/>
    </font>
    <font>
      <name val="Arial"/>
      <color rgb="000000FF"/>
      <sz val="10"/>
    </font>
    <font>
      <name val="Arial"/>
      <i val="1"/>
      <sz val="9"/>
    </font>
  </fonts>
  <fills count="4">
    <fill>
      <patternFill/>
    </fill>
    <fill>
      <patternFill patternType="gray125"/>
    </fill>
    <fill>
      <patternFill patternType="solid">
        <fgColor rgb="00EDE9FE"/>
      </patternFill>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0" fillId="2" borderId="0" pivotButton="0" quotePrefix="0" xfId="0"/>
    <xf numFmtId="0" fontId="5"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0" borderId="1" applyAlignment="1" pivotButton="0" quotePrefix="0" xfId="0">
      <alignment horizontal="center" vertical="top"/>
    </xf>
    <xf numFmtId="0" fontId="2" fillId="0" borderId="1" applyAlignment="1" pivotButton="0" quotePrefix="0" xfId="0">
      <alignment horizontal="center" vertical="top"/>
    </xf>
    <xf numFmtId="0" fontId="6" fillId="0" borderId="1" applyAlignment="1" pivotButton="0" quotePrefix="0" xfId="0">
      <alignment vertical="top"/>
    </xf>
    <xf numFmtId="0" fontId="5" fillId="3" borderId="0" pivotButton="0" quotePrefix="0" xfId="0"/>
    <xf numFmtId="0" fontId="3" fillId="0" borderId="0" pivotButton="0" quotePrefix="0" xfId="0"/>
    <xf numFmtId="0" fontId="6" fillId="0" borderId="0" pivotButton="0" quotePrefix="0" xfId="0"/>
    <xf numFmtId="0" fontId="2"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30" customWidth="1" min="1" max="1"/>
    <col width="96" customWidth="1" min="2" max="2"/>
  </cols>
  <sheetData>
    <row r="1">
      <c r="A1" s="1" t="inlineStr">
        <is>
          <t>Coharts Seed: institutional investor pipeline</t>
        </is>
      </c>
    </row>
    <row r="3">
      <c r="A3" s="2" t="inlineStr">
        <is>
          <t>Generated</t>
        </is>
      </c>
      <c r="B3" s="3" t="inlineStr">
        <is>
          <t>2026-09-30</t>
        </is>
      </c>
    </row>
    <row r="4">
      <c r="A4" s="2" t="inlineStr">
        <is>
          <t>Firms in this workbook</t>
        </is>
      </c>
      <c r="B4" s="3" t="inlineStr">
        <is>
          <t>56</t>
        </is>
      </c>
    </row>
    <row r="5">
      <c r="A5" s="2" t="inlineStr">
        <is>
          <t>Round parameters</t>
        </is>
      </c>
      <c r="B5" s="3" t="inlineStr">
        <is>
          <t>Institutional Seed (raise and valuation TBD with the lead; prior working figure ~$6M; burn $60K rising to $225-300K/mo). POSITIONING per the 2026-10-02 deck: Coharts is an Applied AI company, 'the intelligence layer between a molecule and a medicine' - AI-native, IaaS drug-development infrastructure that connects raw assay to regulatory submission and simulates trial success before patient one (BEAM builds documented models, CTS runs the trial in silico, iViz analyzes). Foresight Base is the connected program record ($2K/program/mo); modules PRISM/ATHENA/BEAM/CTS/iViz switch on by stage. ICH E6(R3) governance and ICH M15 model credibility are a built-in regulatory MOAT, NOT the product. IaaS, never SaaS. $44B TAM (AI biostatistics/bioinformatics, CDMS/real-time-trial infra, RWD/patient-matching, in-silico simulation + MIDD); SAM ~$15B. Validation is RETROSPECTIVE (LEAP Phase 2, PK, failures re-run); NSCLC in PoC. Traction: Tempus POC (results for JPM Jan 2027), Synthon pilot complete ($250K-$415K paid conversion), PRISM FDA grant filed with 2 pediatric hospitals, CDA with Lilly, early talks with J&amp;J. Most check sizes Unknown pending PitchBook; emails inferred unless marked Verified. CONFLICT: Radical Ventures holds Unlearn.AI (direct competitor). WARM-PATH: Josh Seidenfeld (DLA Piper) = legal intros (a16z/Lux/Basis Set/Bessemer, contingent on DLA); Johnny = BD coordinating intros; Oncology Ventures + Care Equity = direct CRM relationships. Others warm-path 1-2 pending named nodes.</t>
        </is>
      </c>
    </row>
    <row r="6">
      <c r="A6" s="2" t="inlineStr">
        <is>
          <t>Prepared by</t>
        </is>
      </c>
      <c r="B6" s="3" t="inlineStr">
        <is>
          <t>Coharts</t>
        </is>
      </c>
    </row>
    <row r="8">
      <c r="A8" s="4" t="inlineStr">
        <is>
          <t>How to use this workbook</t>
        </is>
      </c>
      <c r="B8" s="5" t="n"/>
    </row>
    <row r="9">
      <c r="A9" s="2" t="inlineStr">
        <is>
          <t>Pipeline</t>
        </is>
      </c>
      <c r="B9" s="3" t="inlineStr">
        <is>
          <t>One row per firm. Sort or filter on Fit score and Tier. Blue cells are inputs you can edit, black cells are calculated.</t>
        </is>
      </c>
    </row>
    <row r="10">
      <c r="A10" s="2" t="inlineStr">
        <is>
          <t>Weights</t>
        </is>
      </c>
      <c r="B10" s="3" t="inlineStr">
        <is>
          <t>Change a weight or a tier threshold and every Fit score and Tier recalculates. Weights should total 100.</t>
        </is>
      </c>
    </row>
    <row r="11">
      <c r="A11" s="2" t="inlineStr">
        <is>
          <t>Sources</t>
        </is>
      </c>
      <c r="B11" s="3" t="inlineStr">
        <is>
          <t>One row per claim, so any cell in Pipeline can be traced to the page that supports it.</t>
        </is>
      </c>
    </row>
    <row r="13">
      <c r="A13" s="4" t="inlineStr">
        <is>
          <t>Scoring</t>
        </is>
      </c>
      <c r="B13" s="5" t="n"/>
    </row>
    <row r="14">
      <c r="A14" s="2" t="inlineStr">
        <is>
          <t>Method</t>
        </is>
      </c>
      <c r="B14" s="3" t="inlineStr">
        <is>
          <t>Six dimensions scored 0 to 5, weighted to a 0 to 100 Fit score, less a conflict penalty. Tier A at 70 and above, B from 50 to 69, C below 50.</t>
        </is>
      </c>
    </row>
    <row r="15">
      <c r="A15" s="2" t="inlineStr">
        <is>
          <t>Conflict flag</t>
        </is>
      </c>
      <c r="B15" s="3" t="inlineStr">
        <is>
          <t>Set to 1 when the firm holds a company competing directly with Foresight CDI, iViz, or PRISM. The named company goes in Conflict detail.</t>
        </is>
      </c>
    </row>
    <row r="17">
      <c r="A17" s="4" t="inlineStr">
        <is>
          <t>Evidence rules</t>
        </is>
      </c>
      <c r="B17" s="5" t="n"/>
    </row>
    <row r="18">
      <c r="A18" s="2" t="inlineStr">
        <is>
          <t>Unknown is a real value</t>
        </is>
      </c>
      <c r="B18" s="3" t="inlineStr">
        <is>
          <t>An empty or Unknown cell means no source supported the claim. It is not a gap to be filled in from inference.</t>
        </is>
      </c>
    </row>
    <row r="19">
      <c r="A19" s="2" t="inlineStr">
        <is>
          <t>Every row is dated</t>
        </is>
      </c>
      <c r="B19" s="3" t="inlineStr">
        <is>
          <t>Fund sizes, partner rosters, and theses go stale. Re-verify before reusing a row in a later cycle.</t>
        </is>
      </c>
    </row>
    <row r="20">
      <c r="A20" s="2" t="inlineStr">
        <is>
          <t>People</t>
        </is>
      </c>
      <c r="B20" s="3" t="inlineStr">
        <is>
          <t>Partner names and titles come from the firm's own site, a paid data record, or a dated press item. Nowhere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6" customWidth="1" min="3" max="3"/>
    <col width="24" customWidth="1" min="4" max="4"/>
    <col width="20" customWidth="1" min="5" max="5"/>
    <col width="16" customWidth="1" min="6" max="6"/>
    <col width="12" customWidth="1" min="7" max="7"/>
    <col width="14" customWidth="1" min="8" max="8"/>
    <col width="44" customWidth="1" min="9" max="9"/>
    <col width="44" customWidth="1" min="10" max="10"/>
    <col width="30" customWidth="1" min="11" max="11"/>
    <col width="12" customWidth="1" min="12" max="12"/>
    <col width="30" customWidth="1" min="13" max="13"/>
    <col width="20" customWidth="1" min="14" max="14"/>
    <col width="22" customWidth="1" min="15" max="15"/>
    <col width="34" customWidth="1" min="16" max="16"/>
    <col width="12" customWidth="1" min="17" max="17"/>
    <col width="12" customWidth="1" min="18" max="18"/>
    <col width="12" customWidth="1" min="19" max="19"/>
    <col width="12" customWidth="1" min="20" max="20"/>
    <col width="12" customWidth="1" min="21" max="21"/>
    <col width="12" customWidth="1" min="22" max="22"/>
    <col width="11" customWidth="1" min="23" max="23"/>
    <col width="8" customWidth="1" min="24" max="24"/>
    <col width="16" customWidth="1" min="25" max="25"/>
    <col width="14" customWidth="1" min="26" max="26"/>
    <col width="30" customWidth="1" min="27" max="27"/>
    <col width="16" customWidth="1" min="28" max="28"/>
    <col width="40" customWidth="1" min="29" max="29"/>
    <col width="40" customWidth="1" min="30" max="30"/>
  </cols>
  <sheetData>
    <row r="1" ht="32" customHeight="1">
      <c r="A1" s="6" t="inlineStr">
        <is>
          <t>Firm</t>
        </is>
      </c>
      <c r="B1" s="6" t="inlineStr">
        <is>
          <t>Firm type</t>
        </is>
      </c>
      <c r="C1" s="6" t="inlineStr">
        <is>
          <t>HQ</t>
        </is>
      </c>
      <c r="D1" s="6" t="inlineStr">
        <is>
          <t>Latest fund (size, vintage)</t>
        </is>
      </c>
      <c r="E1" s="6" t="inlineStr">
        <is>
          <t>Stage focus</t>
        </is>
      </c>
      <c r="F1" s="6" t="inlineStr">
        <is>
          <t>Typical check</t>
        </is>
      </c>
      <c r="G1" s="6" t="inlineStr">
        <is>
          <t>Leads seed?</t>
        </is>
      </c>
      <c r="H1" s="6" t="inlineStr">
        <is>
          <t>Already in pipeline?</t>
        </is>
      </c>
      <c r="I1" s="6" t="inlineStr">
        <is>
          <t>Life science evidence</t>
        </is>
      </c>
      <c r="J1" s="6" t="inlineStr">
        <is>
          <t>Applied AI evidence</t>
        </is>
      </c>
      <c r="K1" s="6" t="inlineStr">
        <is>
          <t>Closest portfolio comps</t>
        </is>
      </c>
      <c r="L1" s="6" t="inlineStr">
        <is>
          <t>Conflict flag (0/1)</t>
        </is>
      </c>
      <c r="M1" s="6" t="inlineStr">
        <is>
          <t>Conflict detail</t>
        </is>
      </c>
      <c r="N1" s="6" t="inlineStr">
        <is>
          <t>Contact name</t>
        </is>
      </c>
      <c r="O1" s="6" t="inlineStr">
        <is>
          <t>Contact title</t>
        </is>
      </c>
      <c r="P1" s="6" t="inlineStr">
        <is>
          <t>Warm path</t>
        </is>
      </c>
      <c r="Q1" s="6" t="inlineStr">
        <is>
          <t>Life science score (0-5)</t>
        </is>
      </c>
      <c r="R1" s="6" t="inlineStr">
        <is>
          <t>Applied AI score (0-5)</t>
        </is>
      </c>
      <c r="S1" s="6" t="inlineStr">
        <is>
          <t>Stage score (0-5)</t>
        </is>
      </c>
      <c r="T1" s="6" t="inlineStr">
        <is>
          <t>Check size score (0-5)</t>
        </is>
      </c>
      <c r="U1" s="6" t="inlineStr">
        <is>
          <t>Warm path score (0-5)</t>
        </is>
      </c>
      <c r="V1" s="6" t="inlineStr">
        <is>
          <t>Activity score (0-5)</t>
        </is>
      </c>
      <c r="W1" s="6" t="inlineStr">
        <is>
          <t>Fit score</t>
        </is>
      </c>
      <c r="X1" s="6" t="inlineStr">
        <is>
          <t>Tier</t>
        </is>
      </c>
      <c r="Y1" s="6" t="inlineStr">
        <is>
          <t>Status</t>
        </is>
      </c>
      <c r="Z1" s="6" t="inlineStr">
        <is>
          <t>Owner</t>
        </is>
      </c>
      <c r="AA1" s="6" t="inlineStr">
        <is>
          <t>Next action</t>
        </is>
      </c>
      <c r="AB1" s="6" t="inlineStr">
        <is>
          <t>Last verified (YYYY-MM-DD)</t>
        </is>
      </c>
      <c r="AC1" s="6" t="inlineStr">
        <is>
          <t>Source URLs</t>
        </is>
      </c>
      <c r="AD1" s="6" t="inlineStr">
        <is>
          <t>Notes</t>
        </is>
      </c>
    </row>
    <row r="2">
      <c r="A2" s="7" t="inlineStr">
        <is>
          <t>Dimension Capital</t>
        </is>
      </c>
      <c r="B2" s="7" t="inlineStr">
        <is>
          <t>TechBio seed/early fund</t>
        </is>
      </c>
      <c r="C2" s="7" t="inlineStr">
        <is>
          <t>San Francisco / New York</t>
        </is>
      </c>
      <c r="D2" s="8" t="inlineStr">
        <is>
          <t>Fund III, $800M, closed Jul 2026 ($1.65B AUM)</t>
        </is>
      </c>
      <c r="E2" s="8" t="inlineStr">
        <is>
          <t>Seed and Series A, leads, life science x compute</t>
        </is>
      </c>
      <c r="F2" s="7" t="inlineStr">
        <is>
          <t>Unknown</t>
        </is>
      </c>
      <c r="G2" s="7" t="inlineStr">
        <is>
          <t>Yes</t>
        </is>
      </c>
      <c r="H2" s="7" t="inlineStr">
        <is>
          <t>No</t>
        </is>
      </c>
      <c r="I2" s="8" t="inlineStr">
        <is>
          <t>Purpose-built for the life science x compute/AI intersection. Co-led $30M seed in Chai Discovery (AI drug-design models, 2024). Multiple computational-bio holdings.</t>
        </is>
      </c>
      <c r="J2" s="8" t="inlineStr">
        <is>
          <t>Explicit thesis that science and compute are converging; partners publish on TechBio/AI. Portfolio is AI-native.</t>
        </is>
      </c>
      <c r="K2" s="8" t="inlineStr">
        <is>
          <t>Chai Discovery (AI drug design, not a direct Foresight competitor).</t>
        </is>
      </c>
      <c r="L2" s="9" t="n">
        <v>0</v>
      </c>
      <c r="M2" s="8" t="inlineStr">
        <is>
          <t>Unknown</t>
        </is>
      </c>
      <c r="N2" s="7" t="inlineStr">
        <is>
          <t>Zavain Dar</t>
        </is>
      </c>
      <c r="O2" s="7" t="inlineStr">
        <is>
          <t>Co-Founder and Managing Partner</t>
        </is>
      </c>
      <c r="P2" s="8" t="inlineStr">
        <is>
          <t>Plausible via a Chai Discovery founder or shared tech-bio operator; no named node confirmed yet.</t>
        </is>
      </c>
      <c r="Q2" s="9" t="n">
        <v>5</v>
      </c>
      <c r="R2" s="9" t="n">
        <v>5</v>
      </c>
      <c r="S2" s="9" t="n">
        <v>5</v>
      </c>
      <c r="T2" s="9" t="n">
        <v>0</v>
      </c>
      <c r="U2" s="9" t="n">
        <v>2</v>
      </c>
      <c r="V2" s="9" t="n">
        <v>5</v>
      </c>
      <c r="W2" s="10">
        <f>MAX(0,ROUND(Q2/5*Weights!$B$3+R2/5*Weights!$B$4+S2/5*Weights!$B$5+T2/5*Weights!$B$6+U2/5*Weights!$B$7+V2/5*Weights!$B$8-L2*Weights!$B$9,0))</f>
        <v>84</v>
      </c>
      <c r="X2" s="10" t="str">
        <f>IF(W2&gt;=Weights!$B$12,"A",IF(W2&gt;=Weights!$B$13,"B","C"))</f>
        <v>A</v>
      </c>
      <c r="Y2" s="11" t="inlineStr">
        <is>
          <t>Not contacted</t>
        </is>
      </c>
      <c r="Z2" s="7" t="inlineStr">
        <is>
          <t>Nate</t>
        </is>
      </c>
      <c r="AA2" s="8" t="inlineStr">
        <is>
          <t>Map a named warm intro to Zavain Dar; confirm seed check band.</t>
        </is>
      </c>
      <c r="AB2" s="7" t="inlineStr">
        <is>
          <t>2026-09-30</t>
        </is>
      </c>
      <c r="AC2" s="8" t="inlineStr">
        <is>
          <t>https://techcrunch.com/2026/07/21/dimension-capitals-800m-third-fund-shows-the-intersection-of-science-and-compute-is-booming/; https://www.dimensioncap.com/</t>
        </is>
      </c>
      <c r="AD2" s="8" t="inlineStr">
        <is>
          <t>Highest-fit fund. Contact email inferred/unverified; firm general inbox contact@dimensioncap.com is verified. Do not confuse with Florida 'Dimension Capital Management'.</t>
        </is>
      </c>
    </row>
    <row r="3">
      <c r="A3" s="7" t="inlineStr">
        <is>
          <t>a16z Bio + Health</t>
        </is>
      </c>
      <c r="B3" s="7" t="inlineStr">
        <is>
          <t>Multistage platform, bio+health fund</t>
        </is>
      </c>
      <c r="C3" s="7" t="inlineStr">
        <is>
          <t>Menlo Park, CA</t>
        </is>
      </c>
      <c r="D3" s="8" t="inlineStr">
        <is>
          <t>Bio+Health funds active (size/vintage not re-verified)</t>
        </is>
      </c>
      <c r="E3" s="8" t="inlineStr">
        <is>
          <t>Seed to growth in AI-in-healthcare software; selective at seed</t>
        </is>
      </c>
      <c r="F3" s="7" t="inlineStr">
        <is>
          <t>Unknown</t>
        </is>
      </c>
      <c r="G3" s="7" t="inlineStr">
        <is>
          <t>Selective</t>
        </is>
      </c>
      <c r="H3" s="7" t="inlineStr">
        <is>
          <t>No</t>
        </is>
      </c>
      <c r="I3" s="8" t="inlineStr">
        <is>
          <t>Dedicated bio+health practice investing in AI-native healthcare/life-science software. Portfolio includes Hippocratic AI, Turquoise Health.</t>
        </is>
      </c>
      <c r="J3" s="8" t="inlineStr">
        <is>
          <t>Published AI-in-healthcare theses (2026); the broader a16z applied-AI franchise sits alongside.</t>
        </is>
      </c>
      <c r="K3" s="8" t="inlineStr">
        <is>
          <t>Hippocratic AI (clinical AI, not trial simulation).</t>
        </is>
      </c>
      <c r="L3" s="9" t="n">
        <v>0</v>
      </c>
      <c r="M3" s="8" t="inlineStr">
        <is>
          <t>Unknown</t>
        </is>
      </c>
      <c r="N3" s="7" t="inlineStr">
        <is>
          <t>Julie Yoo</t>
        </is>
      </c>
      <c r="O3" s="7" t="inlineStr">
        <is>
          <t>General Partner (alt: Jay Rughani, Partner)</t>
        </is>
      </c>
      <c r="P3" s="8" t="inlineStr">
        <is>
          <t>STRONG via DLA Piper (engaged counsel): partner Josh Seidenfeld personally led a16z's Prosper AI health-AI financing at DLA in 2026. Confirm the intro with Seidenfeld.</t>
        </is>
      </c>
      <c r="Q3" s="9" t="n">
        <v>5</v>
      </c>
      <c r="R3" s="9" t="n">
        <v>5</v>
      </c>
      <c r="S3" s="9" t="n">
        <v>4</v>
      </c>
      <c r="T3" s="9" t="n">
        <v>0</v>
      </c>
      <c r="U3" s="9" t="n">
        <v>4</v>
      </c>
      <c r="V3" s="9" t="n">
        <v>5</v>
      </c>
      <c r="W3" s="10">
        <f>MAX(0,ROUND(Q3/5*Weights!$B$3+R3/5*Weights!$B$4+S3/5*Weights!$B$5+T3/5*Weights!$B$6+U3/5*Weights!$B$7+V3/5*Weights!$B$8-L3*Weights!$B$9,0))</f>
        <v>84</v>
      </c>
      <c r="X3" s="10" t="str">
        <f>IF(W3&gt;=Weights!$B$12,"A",IF(W3&gt;=Weights!$B$13,"B","C"))</f>
        <v>A</v>
      </c>
      <c r="Y3" s="11" t="inlineStr">
        <is>
          <t>Not contacted</t>
        </is>
      </c>
      <c r="Z3" s="7" t="inlineStr">
        <is>
          <t>Nate</t>
        </is>
      </c>
      <c r="AA3" s="8" t="inlineStr">
        <is>
          <t>Ask Josh Seidenfeld (DLA Piper) for a direct intro to the bio+health team.</t>
        </is>
      </c>
      <c r="AB3" s="7" t="inlineStr">
        <is>
          <t>2026-09-30</t>
        </is>
      </c>
      <c r="AC3" s="8" t="inlineStr">
        <is>
          <t>https://a16z.com/infinite-healthcare-whats-it-worth/; https://www.dlapiper.com/en-us/news/2026/06/dla-piper-advises-andreessen-horowitz-on-usd30-million-investment-in-prosper-ai</t>
        </is>
      </c>
      <c r="AD3" s="8" t="inlineStr">
        <is>
          <t>Warm path via DLA Piper counsel (Seidenfeld led an a16z health-AI deal); score contingent on DLA making the intro. Emails inferred/unverified: julie@a16z.com (~55%) or jyoo@a16z.com (~62%).</t>
        </is>
      </c>
    </row>
    <row r="4">
      <c r="A4" s="7" t="inlineStr">
        <is>
          <t>Section 32</t>
        </is>
      </c>
      <c r="B4" s="7" t="inlineStr">
        <is>
          <t>Frontier tech + healthcare fund</t>
        </is>
      </c>
      <c r="C4" s="7" t="inlineStr">
        <is>
          <t>San Diego / Bay Area</t>
        </is>
      </c>
      <c r="D4" s="8" t="inlineStr">
        <is>
          <t>Active (fund size/vintage not re-verified)</t>
        </is>
      </c>
      <c r="E4" s="8" t="inlineStr">
        <is>
          <t>Seed onward across healthcare/life-sciences and frontier tech</t>
        </is>
      </c>
      <c r="F4" s="7" t="inlineStr">
        <is>
          <t>Unknown</t>
        </is>
      </c>
      <c r="G4" s="7" t="inlineStr">
        <is>
          <t>Selective</t>
        </is>
      </c>
      <c r="H4" s="7" t="inlineStr">
        <is>
          <t>No</t>
        </is>
      </c>
      <c r="I4" s="8" t="inlineStr">
        <is>
          <t>Healthcare/dx/life-sciences core; portfolio includes Freenome and precision-medicine companies. MP ran Foundation Medicine.</t>
        </is>
      </c>
      <c r="J4" s="8" t="inlineStr">
        <is>
          <t>AI + healthcare/data across the portfolio; named focus with evidence.</t>
        </is>
      </c>
      <c r="K4" s="8" t="inlineStr">
        <is>
          <t>Freenome (dx/AI, not a direct Foresight competitor).</t>
        </is>
      </c>
      <c r="L4" s="9" t="n">
        <v>0</v>
      </c>
      <c r="M4" s="8" t="inlineStr">
        <is>
          <t>Unknown</t>
        </is>
      </c>
      <c r="N4" s="7" t="inlineStr">
        <is>
          <t>Michael Pellini, MD</t>
        </is>
      </c>
      <c r="O4" s="7" t="inlineStr">
        <is>
          <t>Managing Partner</t>
        </is>
      </c>
      <c r="P4" s="8" t="inlineStr">
        <is>
          <t>Intro via a Foundation Medicine or Freenome alumnus; no named node confirmed.</t>
        </is>
      </c>
      <c r="Q4" s="9" t="n">
        <v>5</v>
      </c>
      <c r="R4" s="9" t="n">
        <v>4</v>
      </c>
      <c r="S4" s="9" t="n">
        <v>4</v>
      </c>
      <c r="T4" s="9" t="n">
        <v>0</v>
      </c>
      <c r="U4" s="9" t="n">
        <v>2</v>
      </c>
      <c r="V4" s="9" t="n">
        <v>4</v>
      </c>
      <c r="W4" s="10">
        <f>MAX(0,ROUND(Q4/5*Weights!$B$3+R4/5*Weights!$B$4+S4/5*Weights!$B$5+T4/5*Weights!$B$6+U4/5*Weights!$B$7+V4/5*Weights!$B$8-L4*Weights!$B$9,0))</f>
        <v>74</v>
      </c>
      <c r="X4" s="10" t="str">
        <f>IF(W4&gt;=Weights!$B$12,"A",IF(W4&gt;=Weights!$B$13,"B","C"))</f>
        <v>A</v>
      </c>
      <c r="Y4" s="11" t="inlineStr">
        <is>
          <t>Not contacted</t>
        </is>
      </c>
      <c r="Z4" s="7" t="inlineStr">
        <is>
          <t>Nate</t>
        </is>
      </c>
      <c r="AA4" s="8" t="inlineStr">
        <is>
          <t>Confirm a fresh 2025-26 deal to reference; find FMI/Freenome intro.</t>
        </is>
      </c>
      <c r="AB4" s="7" t="inlineStr">
        <is>
          <t>2026-09-30</t>
        </is>
      </c>
      <c r="AC4" s="8" t="inlineStr">
        <is>
          <t>https://www.crunchbase.com/person/michael-j-pellini; https://www.linkedin.com/in/michael-pellini-57a1b919/</t>
        </is>
      </c>
      <c r="AD4" s="8" t="inlineStr">
        <is>
          <t>Email inferred/unverified: michael@section32.com (~72%). Domain is section32.com.</t>
        </is>
      </c>
    </row>
    <row r="5">
      <c r="A5" s="7" t="inlineStr">
        <is>
          <t>Lux Capital</t>
        </is>
      </c>
      <c r="B5" s="7" t="inlineStr">
        <is>
          <t>Frontier science + tech fund</t>
        </is>
      </c>
      <c r="C5" s="7" t="inlineStr">
        <is>
          <t>New York / Menlo Park</t>
        </is>
      </c>
      <c r="D5" s="8" t="inlineStr">
        <is>
          <t>Active flagship (size/vintage not re-verified)</t>
        </is>
      </c>
      <c r="E5" s="8" t="inlineStr">
        <is>
          <t>Seed to early growth; frontier science and AI infra</t>
        </is>
      </c>
      <c r="F5" s="7" t="inlineStr">
        <is>
          <t>Unknown</t>
        </is>
      </c>
      <c r="G5" s="7" t="inlineStr">
        <is>
          <t>Yes</t>
        </is>
      </c>
      <c r="H5" s="7" t="inlineStr">
        <is>
          <t>No</t>
        </is>
      </c>
      <c r="I5" s="8" t="inlineStr">
        <is>
          <t>Frontier science + tech with a health/AI-infra bench. Shakir focuses on digital-health infrastructure and AI-health.</t>
        </is>
      </c>
      <c r="J5" s="8" t="inlineStr">
        <is>
          <t>Strong applied-AI and data-infra practice plus a published frontier-tech thesis; portfolio follows.</t>
        </is>
      </c>
      <c r="K5" s="8" t="inlineStr">
        <is>
          <t>None competing directly with Foresight/iViz identified.</t>
        </is>
      </c>
      <c r="L5" s="9" t="n">
        <v>0</v>
      </c>
      <c r="M5" s="8" t="inlineStr">
        <is>
          <t>Unknown</t>
        </is>
      </c>
      <c r="N5" s="7" t="inlineStr">
        <is>
          <t>Deena Shakir</t>
        </is>
      </c>
      <c r="O5" s="7" t="inlineStr">
        <is>
          <t>General Partner</t>
        </is>
      </c>
      <c r="P5" s="8" t="inlineStr">
        <is>
          <t>PLAUSIBLE via DLA Piper: SF partner Jonathan Axelrad represents Lux in financings; intro would hand off from Seidenfeld to Axelrad. Confirm with DLA.</t>
        </is>
      </c>
      <c r="Q5" s="9" t="n">
        <v>5</v>
      </c>
      <c r="R5" s="9" t="n">
        <v>5</v>
      </c>
      <c r="S5" s="9" t="n">
        <v>4</v>
      </c>
      <c r="T5" s="9" t="n">
        <v>0</v>
      </c>
      <c r="U5" s="9" t="n">
        <v>3</v>
      </c>
      <c r="V5" s="9" t="n">
        <v>4</v>
      </c>
      <c r="W5" s="10">
        <f>MAX(0,ROUND(Q5/5*Weights!$B$3+R5/5*Weights!$B$4+S5/5*Weights!$B$5+T5/5*Weights!$B$6+U5/5*Weights!$B$7+V5/5*Weights!$B$8-L5*Weights!$B$9,0))</f>
        <v>80</v>
      </c>
      <c r="X5" s="10" t="str">
        <f>IF(W5&gt;=Weights!$B$12,"A",IF(W5&gt;=Weights!$B$13,"B","C"))</f>
        <v>A</v>
      </c>
      <c r="Y5" s="11" t="inlineStr">
        <is>
          <t>Not contacted</t>
        </is>
      </c>
      <c r="Z5" s="7" t="inlineStr">
        <is>
          <t>Nate</t>
        </is>
      </c>
      <c r="AA5" s="8" t="inlineStr">
        <is>
          <t>Ask DLA (Axelrad) about a Lux intro to Deena Shakir; verify email.</t>
        </is>
      </c>
      <c r="AB5" s="7" t="inlineStr">
        <is>
          <t>2026-09-30</t>
        </is>
      </c>
      <c r="AC5" s="8" t="inlineStr">
        <is>
          <t>https://www.luxcapital.com/people; https://www.dlapiper.com/en/people/a/jonathan-axelrad</t>
        </is>
      </c>
      <c r="AD5" s="8" t="inlineStr">
        <is>
          <t>Adam Goulburn is at Dimension, NOT Lux. Warm path via DLA partner Axelrad (represents Lux); contingent on the hand-off. Email inferred/unverified: deena.shakir@luxcapital.com (pattern first.last ~90%).</t>
        </is>
      </c>
    </row>
    <row r="6">
      <c r="A6" s="7" t="inlineStr">
        <is>
          <t>Foresite Capital</t>
        </is>
      </c>
      <c r="B6" s="7" t="inlineStr">
        <is>
          <t>Healthcare + life-science infrastructure fund</t>
        </is>
      </c>
      <c r="C6" s="7" t="inlineStr">
        <is>
          <t>San Francisco, CA</t>
        </is>
      </c>
      <c r="D6" s="8" t="inlineStr">
        <is>
          <t>Fund VI, $900M, closed Jun 2024</t>
        </is>
      </c>
      <c r="E6" s="8" t="inlineStr">
        <is>
          <t>Seed to growth; precision medicine and LS infrastructure</t>
        </is>
      </c>
      <c r="F6" s="7" t="inlineStr">
        <is>
          <t>Unknown</t>
        </is>
      </c>
      <c r="G6" s="7" t="inlineStr">
        <is>
          <t>Selective</t>
        </is>
      </c>
      <c r="H6" s="7" t="inlineStr">
        <is>
          <t>No</t>
        </is>
      </c>
      <c r="I6" s="8" t="inlineStr">
        <is>
          <t>Precision medicine + LS infrastructure; co-led ~$1B Xaira Therapeutics (Apr 2024). Foresite Labs incubates data-driven health companies.</t>
        </is>
      </c>
      <c r="J6" s="8" t="inlineStr">
        <is>
          <t>ML/genetics-native; Bajaj is a data-science MD/PhD (ex-Verily/Grail). More bio than pure applied-AI.</t>
        </is>
      </c>
      <c r="K6" s="8" t="inlineStr">
        <is>
          <t>Xaira (AI drug discovery, not clinical trial simulation).</t>
        </is>
      </c>
      <c r="L6" s="9" t="n">
        <v>0</v>
      </c>
      <c r="M6" s="8" t="inlineStr">
        <is>
          <t>Unknown</t>
        </is>
      </c>
      <c r="N6" s="7" t="inlineStr">
        <is>
          <t>Vik Bajaj, PhD</t>
        </is>
      </c>
      <c r="O6" s="7" t="inlineStr">
        <is>
          <t>Managing Director; Co-Founder/CEO Foresite Labs</t>
        </is>
      </c>
      <c r="P6" s="8" t="inlineStr">
        <is>
          <t>Foresite Labs network; no named node confirmed.</t>
        </is>
      </c>
      <c r="Q6" s="9" t="n">
        <v>5</v>
      </c>
      <c r="R6" s="9" t="n">
        <v>4</v>
      </c>
      <c r="S6" s="9" t="n">
        <v>3</v>
      </c>
      <c r="T6" s="9" t="n">
        <v>0</v>
      </c>
      <c r="U6" s="9" t="n">
        <v>2</v>
      </c>
      <c r="V6" s="9" t="n">
        <v>5</v>
      </c>
      <c r="W6" s="10">
        <f>MAX(0,ROUND(Q6/5*Weights!$B$3+R6/5*Weights!$B$4+S6/5*Weights!$B$5+T6/5*Weights!$B$6+U6/5*Weights!$B$7+V6/5*Weights!$B$8-L6*Weights!$B$9,0))</f>
        <v>72</v>
      </c>
      <c r="X6" s="10" t="str">
        <f>IF(W6&gt;=Weights!$B$12,"A",IF(W6&gt;=Weights!$B$13,"B","C"))</f>
        <v>A</v>
      </c>
      <c r="Y6" s="11" t="inlineStr">
        <is>
          <t>Not contacted</t>
        </is>
      </c>
      <c r="Z6" s="7" t="inlineStr">
        <is>
          <t>Nate</t>
        </is>
      </c>
      <c r="AA6" s="8" t="inlineStr">
        <is>
          <t>Confirm email local-part (vik vs vikram); find Labs intro.</t>
        </is>
      </c>
      <c r="AB6" s="7" t="inlineStr">
        <is>
          <t>2026-09-30</t>
        </is>
      </c>
      <c r="AC6" s="8" t="inlineStr">
        <is>
          <t>https://www.biopharmadive.com/news/foresite-950-million-fund-vi-venture-capital/718617/; https://www.foresitecapital.com/</t>
        </is>
      </c>
      <c r="AD6" s="8" t="inlineStr">
        <is>
          <t>Email inferred/unverified: vik.bajaj@foresitecapital.com (~68%); vik vs vikram ambiguous.</t>
        </is>
      </c>
    </row>
    <row r="7">
      <c r="A7" s="7" t="inlineStr">
        <is>
          <t>Khosla Ventures</t>
        </is>
      </c>
      <c r="B7" s="7" t="inlineStr">
        <is>
          <t>Multistage, AI-forward fund</t>
        </is>
      </c>
      <c r="C7" s="7" t="inlineStr">
        <is>
          <t>Menlo Park, CA</t>
        </is>
      </c>
      <c r="D7" s="8" t="inlineStr">
        <is>
          <t>Active (size/vintage not re-verified)</t>
        </is>
      </c>
      <c r="E7" s="8" t="inlineStr">
        <is>
          <t>Seed to growth; AI-forward, seed-friendly</t>
        </is>
      </c>
      <c r="F7" s="7" t="inlineStr">
        <is>
          <t>Unknown</t>
        </is>
      </c>
      <c r="G7" s="7" t="inlineStr">
        <is>
          <t>Yes</t>
        </is>
      </c>
      <c r="H7" s="7" t="inlineStr">
        <is>
          <t>No</t>
        </is>
      </c>
      <c r="I7" s="8" t="inlineStr">
        <is>
          <t>Bio + healthcare investing with a physician-scientist partner; led $50M Series B in Rad AI (2024).</t>
        </is>
      </c>
      <c r="J7" s="8" t="inlineStr">
        <is>
          <t>AI-forward across the firm; deep applied-AI portfolio.</t>
        </is>
      </c>
      <c r="K7" s="8" t="inlineStr">
        <is>
          <t>Rad AI (radiology AI, not trial simulation).</t>
        </is>
      </c>
      <c r="L7" s="9" t="n">
        <v>0</v>
      </c>
      <c r="M7" s="8" t="inlineStr">
        <is>
          <t>Unknown</t>
        </is>
      </c>
      <c r="N7" s="7" t="inlineStr">
        <is>
          <t>Alex Morgan, MD/PhD</t>
        </is>
      </c>
      <c r="O7" s="7" t="inlineStr">
        <is>
          <t>Partner</t>
        </is>
      </c>
      <c r="P7" s="8" t="inlineStr">
        <is>
          <t>LinkedIn or portfolio founder; no named node confirmed.</t>
        </is>
      </c>
      <c r="Q7" s="9" t="n">
        <v>4</v>
      </c>
      <c r="R7" s="9" t="n">
        <v>5</v>
      </c>
      <c r="S7" s="9" t="n">
        <v>4</v>
      </c>
      <c r="T7" s="9" t="n">
        <v>0</v>
      </c>
      <c r="U7" s="9" t="n">
        <v>2</v>
      </c>
      <c r="V7" s="9" t="n">
        <v>4</v>
      </c>
      <c r="W7" s="10">
        <f>MAX(0,ROUND(Q7/5*Weights!$B$3+R7/5*Weights!$B$4+S7/5*Weights!$B$5+T7/5*Weights!$B$6+U7/5*Weights!$B$7+V7/5*Weights!$B$8-L7*Weights!$B$9,0))</f>
        <v>72</v>
      </c>
      <c r="X7" s="10" t="str">
        <f>IF(W7&gt;=Weights!$B$12,"A",IF(W7&gt;=Weights!$B$13,"B","C"))</f>
        <v>A</v>
      </c>
      <c r="Y7" s="11" t="inlineStr">
        <is>
          <t>Not contacted</t>
        </is>
      </c>
      <c r="Z7" s="7" t="inlineStr">
        <is>
          <t>Nate</t>
        </is>
      </c>
      <c r="AA7" s="8" t="inlineStr">
        <is>
          <t>Verify email (am@ vs alex@); find intro.</t>
        </is>
      </c>
      <c r="AB7" s="7" t="inlineStr">
        <is>
          <t>2026-09-30</t>
        </is>
      </c>
      <c r="AC7" s="8" t="inlineStr">
        <is>
          <t>https://www.radai.com/news/rad-ai-closes-50-million-to-empower-physicians-with-ai; https://www.khoslaventures.com/team/alex-morgan</t>
        </is>
      </c>
      <c r="AD7" s="8" t="inlineStr">
        <is>
          <t>Email inferred/unverified: am@khoslaventures.com (~61%) or alex@khoslaventures.com.</t>
        </is>
      </c>
    </row>
    <row r="8">
      <c r="A8" s="7" t="inlineStr">
        <is>
          <t>DCVC Bio</t>
        </is>
      </c>
      <c r="B8" s="7" t="inlineStr">
        <is>
          <t>Computational-bio fund</t>
        </is>
      </c>
      <c r="C8" s="7" t="inlineStr">
        <is>
          <t>Palo Alto, CA</t>
        </is>
      </c>
      <c r="D8" s="8" t="inlineStr">
        <is>
          <t>DCVC Bio III, ~$700M+, 2024</t>
        </is>
      </c>
      <c r="E8" s="8" t="inlineStr">
        <is>
          <t>Seed to early; computational biology (therapeutics-leaning)</t>
        </is>
      </c>
      <c r="F8" s="7" t="inlineStr">
        <is>
          <t>Unknown</t>
        </is>
      </c>
      <c r="G8" s="7" t="inlineStr">
        <is>
          <t>Selective</t>
        </is>
      </c>
      <c r="H8" s="7" t="inlineStr">
        <is>
          <t>No</t>
        </is>
      </c>
      <c r="I8" s="8" t="inlineStr">
        <is>
          <t>Computational/data-driven biology across drug development. Recent deals (Sidewinder, Radionetics, Latus Bio) lean therapeutics/deep-tech, not clinical software.</t>
        </is>
      </c>
      <c r="J8" s="8" t="inlineStr">
        <is>
          <t>Data/AI-native at the platform level; DCVC core (non-Bio) fund does more AI/data software.</t>
        </is>
      </c>
      <c r="K8" s="8" t="inlineStr">
        <is>
          <t>None competing directly with Foresight/iViz identified.</t>
        </is>
      </c>
      <c r="L8" s="9" t="n">
        <v>0</v>
      </c>
      <c r="M8" s="8" t="inlineStr">
        <is>
          <t>Unknown</t>
        </is>
      </c>
      <c r="N8" s="7" t="inlineStr">
        <is>
          <t>Kiersten Stead</t>
        </is>
      </c>
      <c r="O8" s="7" t="inlineStr">
        <is>
          <t>Managing Partner, DCVC Bio</t>
        </is>
      </c>
      <c r="P8" s="8" t="inlineStr">
        <is>
          <t>LinkedIn; consider a DCVC core partner for the software angle. No named node.</t>
        </is>
      </c>
      <c r="Q8" s="9" t="n">
        <v>5</v>
      </c>
      <c r="R8" s="9" t="n">
        <v>4</v>
      </c>
      <c r="S8" s="9" t="n">
        <v>3</v>
      </c>
      <c r="T8" s="9" t="n">
        <v>0</v>
      </c>
      <c r="U8" s="9" t="n">
        <v>2</v>
      </c>
      <c r="V8" s="9" t="n">
        <v>4</v>
      </c>
      <c r="W8" s="10">
        <f>MAX(0,ROUND(Q8/5*Weights!$B$3+R8/5*Weights!$B$4+S8/5*Weights!$B$5+T8/5*Weights!$B$6+U8/5*Weights!$B$7+V8/5*Weights!$B$8-L8*Weights!$B$9,0))</f>
        <v>70</v>
      </c>
      <c r="X8" s="10" t="str">
        <f>IF(W8&gt;=Weights!$B$12,"A",IF(W8&gt;=Weights!$B$13,"B","C"))</f>
        <v>A</v>
      </c>
      <c r="Y8" s="11" t="inlineStr">
        <is>
          <t>Not contacted</t>
        </is>
      </c>
      <c r="Z8" s="7" t="inlineStr">
        <is>
          <t>Nate</t>
        </is>
      </c>
      <c r="AA8" s="8" t="inlineStr">
        <is>
          <t>Decide Bio vs core-fund partner; verify email.</t>
        </is>
      </c>
      <c r="AB8" s="7" t="inlineStr">
        <is>
          <t>2026-09-30</t>
        </is>
      </c>
      <c r="AC8" s="8" t="inlineStr">
        <is>
          <t>https://vcwire.tech/2024/10/01/dcvc-closes-over-700m-in-new-funds/; https://www.dcvc.com/team/kiersten-stead/</t>
        </is>
      </c>
      <c r="AD8" s="8" t="inlineStr">
        <is>
          <t>Borderline Tier A; therapeutics lean makes a software seed less certain. Email inferred: kiersten@dcvc.com or kiersten.stead@dcvc.com.</t>
        </is>
      </c>
    </row>
    <row r="9">
      <c r="A9" s="7" t="inlineStr">
        <is>
          <t>Menlo Ventures</t>
        </is>
      </c>
      <c r="B9" s="7" t="inlineStr">
        <is>
          <t>Multistage fund with bio+healthcare practice</t>
        </is>
      </c>
      <c r="C9" s="7" t="inlineStr">
        <is>
          <t>Menlo Park, CA</t>
        </is>
      </c>
      <c r="D9" s="8" t="inlineStr">
        <is>
          <t>Active flagship + Anthology (size/vintage not re-verified)</t>
        </is>
      </c>
      <c r="E9" s="8" t="inlineStr">
        <is>
          <t>Seed to growth; leads Series A/B more than seed</t>
        </is>
      </c>
      <c r="F9" s="7" t="inlineStr">
        <is>
          <t>Unknown</t>
        </is>
      </c>
      <c r="G9" s="7" t="inlineStr">
        <is>
          <t>Selective</t>
        </is>
      </c>
      <c r="H9" s="7" t="inlineStr">
        <is>
          <t>No</t>
        </is>
      </c>
      <c r="I9" s="8" t="inlineStr">
        <is>
          <t>Dedicated Bio+Healthcare practice; led $70M Series A in Chai Discovery (AI molecular design, 2025).</t>
        </is>
      </c>
      <c r="J9" s="8" t="inlineStr">
        <is>
          <t>Major AI thesis (early Anthropic backer); strong AI-native portfolio.</t>
        </is>
      </c>
      <c r="K9" s="8" t="inlineStr">
        <is>
          <t>Chai Discovery (AI drug design, not trial simulation).</t>
        </is>
      </c>
      <c r="L9" s="9" t="n">
        <v>0</v>
      </c>
      <c r="M9" s="8" t="inlineStr">
        <is>
          <t>Unknown</t>
        </is>
      </c>
      <c r="N9" s="7" t="inlineStr">
        <is>
          <t>Greg Yap</t>
        </is>
      </c>
      <c r="O9" s="7" t="inlineStr">
        <is>
          <t>Partner (life-science tech, digital health)</t>
        </is>
      </c>
      <c r="P9" s="8" t="inlineStr">
        <is>
          <t>Menlo LS portfolio CEO; no named node confirmed.</t>
        </is>
      </c>
      <c r="Q9" s="9" t="n">
        <v>4</v>
      </c>
      <c r="R9" s="9" t="n">
        <v>5</v>
      </c>
      <c r="S9" s="9" t="n">
        <v>3</v>
      </c>
      <c r="T9" s="9" t="n">
        <v>0</v>
      </c>
      <c r="U9" s="9" t="n">
        <v>2</v>
      </c>
      <c r="V9" s="9" t="n">
        <v>4</v>
      </c>
      <c r="W9" s="10">
        <f>MAX(0,ROUND(Q9/5*Weights!$B$3+R9/5*Weights!$B$4+S9/5*Weights!$B$5+T9/5*Weights!$B$6+U9/5*Weights!$B$7+V9/5*Weights!$B$8-L9*Weights!$B$9,0))</f>
        <v>68</v>
      </c>
      <c r="X9" s="10" t="str">
        <f>IF(W9&gt;=Weights!$B$12,"A",IF(W9&gt;=Weights!$B$13,"B","C"))</f>
        <v>B</v>
      </c>
      <c r="Y9" s="11" t="inlineStr">
        <is>
          <t>Not contacted</t>
        </is>
      </c>
      <c r="Z9" s="7" t="inlineStr">
        <is>
          <t>Nate</t>
        </is>
      </c>
      <c r="AA9" s="8" t="inlineStr">
        <is>
          <t>Confirm seed appetite (they lean A); find intro to Yap.</t>
        </is>
      </c>
      <c r="AB9" s="7" t="inlineStr">
        <is>
          <t>2026-09-30</t>
        </is>
      </c>
      <c r="AC9" s="8" t="inlineStr">
        <is>
          <t>https://www.pharmexec.com/view/menlo-ventures-led-70-million-series-a-fundraiser-chai-discovery-transform-molecular-design; https://menlovc.com/team/greg-yap/</t>
        </is>
      </c>
      <c r="AD9" s="8" t="inlineStr">
        <is>
          <t>Email inferred/unverified: greg@menlovc.com (~79%).</t>
        </is>
      </c>
    </row>
    <row r="10">
      <c r="A10" s="7" t="inlineStr">
        <is>
          <t>8VC</t>
        </is>
      </c>
      <c r="B10" s="7" t="inlineStr">
        <is>
          <t>Tech + life-sciences fund</t>
        </is>
      </c>
      <c r="C10" s="7" t="inlineStr">
        <is>
          <t>Austin / San Francisco</t>
        </is>
      </c>
      <c r="D10" s="8" t="inlineStr">
        <is>
          <t>Active multistage (size/vintage not re-verified)</t>
        </is>
      </c>
      <c r="E10" s="8" t="inlineStr">
        <is>
          <t>Pre-seed to Series A, leads; healthcare-data infrastructure</t>
        </is>
      </c>
      <c r="F10" s="7" t="inlineStr">
        <is>
          <t>Unknown</t>
        </is>
      </c>
      <c r="G10" s="7" t="inlineStr">
        <is>
          <t>Yes</t>
        </is>
      </c>
      <c r="H10" s="7" t="inlineStr">
        <is>
          <t>No</t>
        </is>
      </c>
      <c r="I10" s="8" t="inlineStr">
        <is>
          <t>Healthcare data-infrastructure and health-IT thesis; comfortable with enterprise health SaaS mapping to Coharts pharma/CRO buyers.</t>
        </is>
      </c>
      <c r="J10" s="8" t="inlineStr">
        <is>
          <t>AI named focus with portfolio evidence, not a pure AI-thesis fund.</t>
        </is>
      </c>
      <c r="K10" s="8" t="inlineStr">
        <is>
          <t>None competing directly with Foresight/iViz identified.</t>
        </is>
      </c>
      <c r="L10" s="9" t="n">
        <v>0</v>
      </c>
      <c r="M10" s="8" t="inlineStr">
        <is>
          <t>Unknown</t>
        </is>
      </c>
      <c r="N10" s="7" t="inlineStr">
        <is>
          <t>Kimmy Scotti</t>
        </is>
      </c>
      <c r="O10" s="7" t="inlineStr">
        <is>
          <t>Founding Partner (healthcare)</t>
        </is>
      </c>
      <c r="P10" s="8" t="inlineStr">
        <is>
          <t>LinkedIn or portfolio founder; no named node confirmed.</t>
        </is>
      </c>
      <c r="Q10" s="9" t="n">
        <v>4</v>
      </c>
      <c r="R10" s="9" t="n">
        <v>3</v>
      </c>
      <c r="S10" s="9" t="n">
        <v>4</v>
      </c>
      <c r="T10" s="9" t="n">
        <v>0</v>
      </c>
      <c r="U10" s="9" t="n">
        <v>2</v>
      </c>
      <c r="V10" s="9" t="n">
        <v>4</v>
      </c>
      <c r="W10" s="10">
        <f>MAX(0,ROUND(Q10/5*Weights!$B$3+R10/5*Weights!$B$4+S10/5*Weights!$B$5+T10/5*Weights!$B$6+U10/5*Weights!$B$7+V10/5*Weights!$B$8-L10*Weights!$B$9,0))</f>
        <v>64</v>
      </c>
      <c r="X10" s="10" t="str">
        <f>IF(W10&gt;=Weights!$B$12,"A",IF(W10&gt;=Weights!$B$13,"B","C"))</f>
        <v>B</v>
      </c>
      <c r="Y10" s="11" t="inlineStr">
        <is>
          <t>Not contacted</t>
        </is>
      </c>
      <c r="Z10" s="7" t="inlineStr">
        <is>
          <t>Nate</t>
        </is>
      </c>
      <c r="AA10" s="8" t="inlineStr">
        <is>
          <t>Confirm a fresh clinical-software deal; verify email.</t>
        </is>
      </c>
      <c r="AB10" s="7" t="inlineStr">
        <is>
          <t>2026-09-30</t>
        </is>
      </c>
      <c r="AC10" s="8" t="inlineStr">
        <is>
          <t>https://signal.nfx.com/investors/kimmy-scotti; https://8vc.com/contact</t>
        </is>
      </c>
      <c r="AD10" s="8" t="inlineStr">
        <is>
          <t>Infra fit strengthens: enterprise health-data infrastructure / system-of-record is squarely 8VC's lane. Email inferred/unverified: kimmy@8vc.com (~76%). For enterprise clinical-data, 8VC bio team may co-fit.</t>
        </is>
      </c>
    </row>
    <row r="11">
      <c r="A11" s="7" t="inlineStr">
        <is>
          <t>GV (Google Ventures)</t>
        </is>
      </c>
      <c r="B11" s="7" t="inlineStr">
        <is>
          <t>Corporate multistage fund</t>
        </is>
      </c>
      <c r="C11" s="7" t="inlineStr">
        <is>
          <t>Mountain View, CA</t>
        </is>
      </c>
      <c r="D11" s="8" t="inlineStr">
        <is>
          <t>Evergreen (Alphabet-backed)</t>
        </is>
      </c>
      <c r="E11" s="8" t="inlineStr">
        <is>
          <t>Seed to growth; life sciences and health co-led</t>
        </is>
      </c>
      <c r="F11" s="7" t="inlineStr">
        <is>
          <t>Unknown</t>
        </is>
      </c>
      <c r="G11" s="7" t="inlineStr">
        <is>
          <t>Selective</t>
        </is>
      </c>
      <c r="H11" s="7" t="inlineStr">
        <is>
          <t>No</t>
        </is>
      </c>
      <c r="I11" s="8" t="inlineStr">
        <is>
          <t>Physician-CS GP co-leads a deep life-sciences group; digital health, diagnostics, AI-in-healthcare (Flatiron, Verve incubation history).</t>
        </is>
      </c>
      <c r="J11" s="8" t="inlineStr">
        <is>
          <t>AI is a named focus with portfolio evidence across the firm.</t>
        </is>
      </c>
      <c r="K11" s="8" t="inlineStr">
        <is>
          <t>None competing directly with Foresight/iViz identified.</t>
        </is>
      </c>
      <c r="L11" s="9" t="n">
        <v>0</v>
      </c>
      <c r="M11" s="8" t="inlineStr">
        <is>
          <t>Unknown</t>
        </is>
      </c>
      <c r="N11" s="7" t="inlineStr">
        <is>
          <t>Krishna Yeshwant, MD</t>
        </is>
      </c>
      <c r="O11" s="7" t="inlineStr">
        <is>
          <t>Managing Partner / co-lead Life Sciences</t>
        </is>
      </c>
      <c r="P11" s="8" t="inlineStr">
        <is>
          <t>Portfolio founder or LinkedIn; no named node confirmed.</t>
        </is>
      </c>
      <c r="Q11" s="9" t="n">
        <v>5</v>
      </c>
      <c r="R11" s="9" t="n">
        <v>3</v>
      </c>
      <c r="S11" s="9" t="n">
        <v>3</v>
      </c>
      <c r="T11" s="9" t="n">
        <v>0</v>
      </c>
      <c r="U11" s="9" t="n">
        <v>2</v>
      </c>
      <c r="V11" s="9" t="n">
        <v>4</v>
      </c>
      <c r="W11" s="10">
        <f>MAX(0,ROUND(Q11/5*Weights!$B$3+R11/5*Weights!$B$4+S11/5*Weights!$B$5+T11/5*Weights!$B$6+U11/5*Weights!$B$7+V11/5*Weights!$B$8-L11*Weights!$B$9,0))</f>
        <v>66</v>
      </c>
      <c r="X11" s="10" t="str">
        <f>IF(W11&gt;=Weights!$B$12,"A",IF(W11&gt;=Weights!$B$13,"B","C"))</f>
        <v>B</v>
      </c>
      <c r="Y11" s="11" t="inlineStr">
        <is>
          <t>Not contacted</t>
        </is>
      </c>
      <c r="Z11" s="7" t="inlineStr">
        <is>
          <t>Nate</t>
        </is>
      </c>
      <c r="AA11" s="8" t="inlineStr">
        <is>
          <t>Pull a 2025-26 LS deal to reference; verify email.</t>
        </is>
      </c>
      <c r="AB11" s="7" t="inlineStr">
        <is>
          <t>2026-09-30</t>
        </is>
      </c>
      <c r="AC11" s="8" t="inlineStr">
        <is>
          <t>https://www.gv.com/team/krishna-yeshwant; https://www.linkedin.com/in/kcyeshwant/</t>
        </is>
      </c>
      <c r="AD11" s="8" t="inlineStr">
        <is>
          <t>Email inferred/unverified and low-confidence: krishna@gv.com (pattern first@ only ~37%, 8 formats).</t>
        </is>
      </c>
    </row>
    <row r="12">
      <c r="A12" s="7" t="inlineStr">
        <is>
          <t>Breyer Capital</t>
        </is>
      </c>
      <c r="B12" s="7" t="inlineStr">
        <is>
          <t>Multistage fund building HC/LS practice</t>
        </is>
      </c>
      <c r="C12" s="7" t="inlineStr">
        <is>
          <t>Austin / Menlo Park</t>
        </is>
      </c>
      <c r="D12" s="8" t="inlineStr">
        <is>
          <t>Active (size/vintage not re-verified)</t>
        </is>
      </c>
      <c r="E12" s="8" t="inlineStr">
        <is>
          <t>Early-stage biomedical + AI; new healthcare mandate</t>
        </is>
      </c>
      <c r="F12" s="7" t="inlineStr">
        <is>
          <t>Unknown</t>
        </is>
      </c>
      <c r="G12" s="7" t="inlineStr">
        <is>
          <t>Selective</t>
        </is>
      </c>
      <c r="H12" s="7" t="inlineStr">
        <is>
          <t>No</t>
        </is>
      </c>
      <c r="I12" s="8" t="inlineStr">
        <is>
          <t>New, well-capitalized HC/LS mandate. Cheatham (hired Apr 2025) sourced Abridge and Hinge Health at Bessemer.</t>
        </is>
      </c>
      <c r="J12" s="8" t="inlineStr">
        <is>
          <t>Breyer is a longtime AI investor; Cheatham drives a healthcare-AI thesis.</t>
        </is>
      </c>
      <c r="K12" s="8" t="inlineStr">
        <is>
          <t>None competing directly with Foresight/iViz identified.</t>
        </is>
      </c>
      <c r="L12" s="9" t="n">
        <v>0</v>
      </c>
      <c r="M12" s="8" t="inlineStr">
        <is>
          <t>Unknown</t>
        </is>
      </c>
      <c r="N12" s="7" t="inlineStr">
        <is>
          <t>Morgan Cheatham, MD</t>
        </is>
      </c>
      <c r="O12" s="7" t="inlineStr">
        <is>
          <t>Partner and Head of Healthcare and Life Sciences</t>
        </is>
      </c>
      <c r="P12" s="8" t="inlineStr">
        <is>
          <t>LinkedIn; Cheatham runs public healthcare content, an engagement warm-up. No named node.</t>
        </is>
      </c>
      <c r="Q12" s="9" t="n">
        <v>3</v>
      </c>
      <c r="R12" s="9" t="n">
        <v>4</v>
      </c>
      <c r="S12" s="9" t="n">
        <v>3</v>
      </c>
      <c r="T12" s="9" t="n">
        <v>0</v>
      </c>
      <c r="U12" s="9" t="n">
        <v>2</v>
      </c>
      <c r="V12" s="9" t="n">
        <v>4</v>
      </c>
      <c r="W12" s="10">
        <f>MAX(0,ROUND(Q12/5*Weights!$B$3+R12/5*Weights!$B$4+S12/5*Weights!$B$5+T12/5*Weights!$B$6+U12/5*Weights!$B$7+V12/5*Weights!$B$8-L12*Weights!$B$9,0))</f>
        <v>58</v>
      </c>
      <c r="X12" s="10" t="str">
        <f>IF(W12&gt;=Weights!$B$12,"A",IF(W12&gt;=Weights!$B$13,"B","C"))</f>
        <v>B</v>
      </c>
      <c r="Y12" s="11" t="inlineStr">
        <is>
          <t>Not contacted</t>
        </is>
      </c>
      <c r="Z12" s="7" t="inlineStr">
        <is>
          <t>Nate</t>
        </is>
      </c>
      <c r="AA12" s="8" t="inlineStr">
        <is>
          <t>Verify email via LinkedIn; confirm HC/LS check appetite.</t>
        </is>
      </c>
      <c r="AB12" s="7" t="inlineStr">
        <is>
          <t>2026-09-30</t>
        </is>
      </c>
      <c r="AC12" s="8" t="inlineStr">
        <is>
          <t>https://www.forbes.com/sites/sindhyavalloppillil/2025/04/24/billionaire-vc-jim-breyer-taps-morgan-cheatham-to-drive-the-future-of-healthcare-and-life-sciences/; https://www.linkedin.com/in/morgancheatham/</t>
        </is>
      </c>
      <c r="AD12" s="8" t="inlineStr">
        <is>
          <t>Cheatham left Bessemer (Apr 2025). Email pattern unconfirmed; use LinkedIn.</t>
        </is>
      </c>
    </row>
    <row r="13">
      <c r="A13" s="7" t="inlineStr">
        <is>
          <t>Obvious Ventures</t>
        </is>
      </c>
      <c r="B13" s="7" t="inlineStr">
        <is>
          <t>Seed/early world-positive fund</t>
        </is>
      </c>
      <c r="C13" s="7" t="inlineStr">
        <is>
          <t>San Francisco, CA</t>
        </is>
      </c>
      <c r="D13" s="8" t="inlineStr">
        <is>
          <t>Fund V, $360M, closed Jan 2026</t>
        </is>
      </c>
      <c r="E13" s="8" t="inlineStr">
        <is>
          <t>Seed and Series A, leads; $5M to $12M checks</t>
        </is>
      </c>
      <c r="F13" s="7" t="inlineStr">
        <is>
          <t>$5M to $12M (per firm materials; confirm)</t>
        </is>
      </c>
      <c r="G13" s="7" t="inlineStr">
        <is>
          <t>Yes</t>
        </is>
      </c>
      <c r="H13" s="7" t="inlineStr">
        <is>
          <t>No</t>
        </is>
      </c>
      <c r="I13" s="8" t="inlineStr">
        <is>
          <t>Human-health theme with some bio/science holdings; not a dedicated bio fund.</t>
        </is>
      </c>
      <c r="J13" s="8" t="inlineStr">
        <is>
          <t>Responsible-AI theme with portfolio evidence.</t>
        </is>
      </c>
      <c r="K13" s="8" t="inlineStr">
        <is>
          <t>None competing directly with Foresight/iViz identified.</t>
        </is>
      </c>
      <c r="L13" s="9" t="n">
        <v>0</v>
      </c>
      <c r="M13" s="8" t="inlineStr">
        <is>
          <t>Unknown</t>
        </is>
      </c>
      <c r="N13" s="7" t="inlineStr">
        <is>
          <t>James Joaquin</t>
        </is>
      </c>
      <c r="O13" s="7" t="inlineStr">
        <is>
          <t>Co-Founder and Managing Director</t>
        </is>
      </c>
      <c r="P13" s="8" t="inlineStr">
        <is>
          <t>LinkedIn or portfolio founder; no named node confirmed.</t>
        </is>
      </c>
      <c r="Q13" s="9" t="n">
        <v>3</v>
      </c>
      <c r="R13" s="9" t="n">
        <v>3</v>
      </c>
      <c r="S13" s="9" t="n">
        <v>4</v>
      </c>
      <c r="T13" s="9" t="n">
        <v>5</v>
      </c>
      <c r="U13" s="9" t="n">
        <v>2</v>
      </c>
      <c r="V13" s="9" t="n">
        <v>5</v>
      </c>
      <c r="W13" s="10">
        <f>MAX(0,ROUND(Q13/5*Weights!$B$3+R13/5*Weights!$B$4+S13/5*Weights!$B$5+T13/5*Weights!$B$6+U13/5*Weights!$B$7+V13/5*Weights!$B$8-L13*Weights!$B$9,0))</f>
        <v>70</v>
      </c>
      <c r="X13" s="10" t="str">
        <f>IF(W13&gt;=Weights!$B$12,"A",IF(W13&gt;=Weights!$B$13,"B","C"))</f>
        <v>A</v>
      </c>
      <c r="Y13" s="11" t="inlineStr">
        <is>
          <t>Not contacted</t>
        </is>
      </c>
      <c r="Z13" s="7" t="inlineStr">
        <is>
          <t>Nate</t>
        </is>
      </c>
      <c r="AA13" s="8" t="inlineStr">
        <is>
          <t>Verify email; confirm health-software recency. $5-12M checks lead a $6M seed cleanly.</t>
        </is>
      </c>
      <c r="AB13" s="7" t="inlineStr">
        <is>
          <t>2026-09-30</t>
        </is>
      </c>
      <c r="AC13" s="8" t="inlineStr">
        <is>
          <t>https://obvious.com/team/james-joaquin/; https://www.linkedin.com/in/jamesjoaquin</t>
        </is>
      </c>
      <c r="AD13" s="8" t="inlineStr">
        <is>
          <t>Check-size band published by the firm, so scored 3 rather than 0. Email inferred/unverified: james@obvious.com.</t>
        </is>
      </c>
    </row>
    <row r="14">
      <c r="A14" s="7" t="inlineStr">
        <is>
          <t>Zetta Venture Partners</t>
        </is>
      </c>
      <c r="B14" s="7" t="inlineStr">
        <is>
          <t>AI-first seed fund</t>
        </is>
      </c>
      <c r="C14" s="7" t="inlineStr">
        <is>
          <t>San Francisco, CA</t>
        </is>
      </c>
      <c r="D14" s="8" t="inlineStr">
        <is>
          <t>~$180M fund (vintage not re-verified)</t>
        </is>
      </c>
      <c r="E14" s="8" t="inlineStr">
        <is>
          <t>Pre-seed and Seed, leads; AI-first B2B</t>
        </is>
      </c>
      <c r="F14" s="7" t="inlineStr">
        <is>
          <t>Unknown</t>
        </is>
      </c>
      <c r="G14" s="7" t="inlineStr">
        <is>
          <t>Yes</t>
        </is>
      </c>
      <c r="H14" s="7" t="inlineStr">
        <is>
          <t>No</t>
        </is>
      </c>
      <c r="I14" s="8" t="inlineStr">
        <is>
          <t>AI-first generalist; health exposure via VideaHealth ($40M, Jan 2025). Not a dedicated bio fund.</t>
        </is>
      </c>
      <c r="J14" s="8" t="inlineStr">
        <is>
          <t>Explicit AI-first thesis (first believers in AI); portfolio demonstrably follows. Ideal for iViz as an AI-native data product.</t>
        </is>
      </c>
      <c r="K14" s="8" t="inlineStr">
        <is>
          <t>None competing directly with Foresight/iViz identified.</t>
        </is>
      </c>
      <c r="L14" s="9" t="n">
        <v>0</v>
      </c>
      <c r="M14" s="8" t="inlineStr">
        <is>
          <t>Unknown</t>
        </is>
      </c>
      <c r="N14" s="7" t="inlineStr">
        <is>
          <t>Jocelyn Goldfein</t>
        </is>
      </c>
      <c r="O14" s="7" t="inlineStr">
        <is>
          <t>Managing Director / General Partner</t>
        </is>
      </c>
      <c r="P14" s="8" t="inlineStr">
        <is>
          <t>LinkedIn; no named node confirmed.</t>
        </is>
      </c>
      <c r="Q14" s="9" t="n">
        <v>2</v>
      </c>
      <c r="R14" s="9" t="n">
        <v>5</v>
      </c>
      <c r="S14" s="9" t="n">
        <v>5</v>
      </c>
      <c r="T14" s="9" t="n">
        <v>0</v>
      </c>
      <c r="U14" s="9" t="n">
        <v>2</v>
      </c>
      <c r="V14" s="9" t="n">
        <v>4</v>
      </c>
      <c r="W14" s="10">
        <f>MAX(0,ROUND(Q14/5*Weights!$B$3+R14/5*Weights!$B$4+S14/5*Weights!$B$5+T14/5*Weights!$B$6+U14/5*Weights!$B$7+V14/5*Weights!$B$8-L14*Weights!$B$9,0))</f>
        <v>64</v>
      </c>
      <c r="X14" s="10" t="str">
        <f>IF(W14&gt;=Weights!$B$12,"A",IF(W14&gt;=Weights!$B$13,"B","C"))</f>
        <v>B</v>
      </c>
      <c r="Y14" s="11" t="inlineStr">
        <is>
          <t>Not contacted</t>
        </is>
      </c>
      <c r="Z14" s="7" t="inlineStr">
        <is>
          <t>Nate</t>
        </is>
      </c>
      <c r="AA14" s="8" t="inlineStr">
        <is>
          <t>Lead with iViz AI-native architecture; verify email/pattern.</t>
        </is>
      </c>
      <c r="AB14" s="7" t="inlineStr">
        <is>
          <t>2026-09-30</t>
        </is>
      </c>
      <c r="AC14" s="8" t="inlineStr">
        <is>
          <t>https://www.zettavp.com/team; https://www.caplight.com/investor/zettavp</t>
        </is>
      </c>
      <c r="AD14" s="8" t="inlineStr">
        <is>
          <t>Email inferred/unverified, low confidence: jocelyn@zettavp.com (pattern unconfirmed).</t>
        </is>
      </c>
    </row>
    <row r="15">
      <c r="A15" s="7" t="inlineStr">
        <is>
          <t>Two Sigma Ventures</t>
        </is>
      </c>
      <c r="B15" s="7" t="inlineStr">
        <is>
          <t>Data-science / ML-first fund</t>
        </is>
      </c>
      <c r="C15" s="7" t="inlineStr">
        <is>
          <t>New York, NY</t>
        </is>
      </c>
      <c r="D15" s="8" t="inlineStr">
        <is>
          <t>Active (size/vintage not re-verified)</t>
        </is>
      </c>
      <c r="E15" s="8" t="inlineStr">
        <is>
          <t>Seed and Series A; data-intensive B2B</t>
        </is>
      </c>
      <c r="F15" s="7" t="inlineStr">
        <is>
          <t>Unknown</t>
        </is>
      </c>
      <c r="G15" s="7" t="inlineStr">
        <is>
          <t>Selective</t>
        </is>
      </c>
      <c r="H15" s="7" t="inlineStr">
        <is>
          <t>No</t>
        </is>
      </c>
      <c r="I15" s="8" t="inlineStr">
        <is>
          <t>Healthcare x data-science line; portfolio includes insitro (ML + life-science data).</t>
        </is>
      </c>
      <c r="J15" s="8" t="inlineStr">
        <is>
          <t>Data-science/ML-first thesis; AI-native across the portfolio. Strong iViz fit.</t>
        </is>
      </c>
      <c r="K15" s="8" t="inlineStr">
        <is>
          <t>insitro (ML drug discovery, not trial simulation).</t>
        </is>
      </c>
      <c r="L15" s="9" t="n">
        <v>0</v>
      </c>
      <c r="M15" s="8" t="inlineStr">
        <is>
          <t>Unknown</t>
        </is>
      </c>
      <c r="N15" s="7" t="inlineStr">
        <is>
          <t>Dusan Perovic</t>
        </is>
      </c>
      <c r="O15" s="7" t="inlineStr">
        <is>
          <t>Partner (verify still at firm)</t>
        </is>
      </c>
      <c r="P15" s="8" t="inlineStr">
        <is>
          <t>LinkedIn; no named node confirmed.</t>
        </is>
      </c>
      <c r="Q15" s="9" t="n">
        <v>3</v>
      </c>
      <c r="R15" s="9" t="n">
        <v>5</v>
      </c>
      <c r="S15" s="9" t="n">
        <v>4</v>
      </c>
      <c r="T15" s="9" t="n">
        <v>0</v>
      </c>
      <c r="U15" s="9" t="n">
        <v>2</v>
      </c>
      <c r="V15" s="9" t="n">
        <v>3</v>
      </c>
      <c r="W15" s="10">
        <f>MAX(0,ROUND(Q15/5*Weights!$B$3+R15/5*Weights!$B$4+S15/5*Weights!$B$5+T15/5*Weights!$B$6+U15/5*Weights!$B$7+V15/5*Weights!$B$8-L15*Weights!$B$9,0))</f>
        <v>64</v>
      </c>
      <c r="X15" s="10" t="str">
        <f>IF(W15&gt;=Weights!$B$12,"A",IF(W15&gt;=Weights!$B$13,"B","C"))</f>
        <v>B</v>
      </c>
      <c r="Y15" s="11" t="inlineStr">
        <is>
          <t>Not contacted</t>
        </is>
      </c>
      <c r="Z15" s="7" t="inlineStr">
        <is>
          <t>Nate</t>
        </is>
      </c>
      <c r="AA15" s="8" t="inlineStr">
        <is>
          <t>Confirm Perovic is current and covers this; verify email pattern.</t>
        </is>
      </c>
      <c r="AB15" s="7" t="inlineStr">
        <is>
          <t>2026-09-30</t>
        </is>
      </c>
      <c r="AC15" s="8" t="inlineStr">
        <is>
          <t>https://twosigmaventures.com/our-focus/</t>
        </is>
      </c>
      <c r="AD15" s="8" t="inlineStr">
        <is>
          <t>Partner and email pattern unconfirmed; likely first@twosigmaventures.com.</t>
        </is>
      </c>
    </row>
    <row r="16">
      <c r="A16" s="7" t="inlineStr">
        <is>
          <t>Bessemer Venture Partners</t>
        </is>
      </c>
      <c r="B16" s="7" t="inlineStr">
        <is>
          <t>Multistage fund with health-tech practice</t>
        </is>
      </c>
      <c r="C16" s="7" t="inlineStr">
        <is>
          <t>San Francisco / Cambridge</t>
        </is>
      </c>
      <c r="D16" s="8" t="inlineStr">
        <is>
          <t>Active large flagship (size/vintage not re-verified)</t>
        </is>
      </c>
      <c r="E16" s="8" t="inlineStr">
        <is>
          <t>Seed to growth; growth-heavy, does seed selectively</t>
        </is>
      </c>
      <c r="F16" s="7" t="inlineStr">
        <is>
          <t>Unknown</t>
        </is>
      </c>
      <c r="G16" s="7" t="inlineStr">
        <is>
          <t>Selective</t>
        </is>
      </c>
      <c r="H16" s="7" t="inlineStr">
        <is>
          <t>No</t>
        </is>
      </c>
      <c r="I16" s="8" t="inlineStr">
        <is>
          <t>Deep health-tech / vertical-SaaS practice; publishes a Healthcare AI Roadmap. Kraus authored the '10 Laws of Healthcare'.</t>
        </is>
      </c>
      <c r="J16" s="8" t="inlineStr">
        <is>
          <t>Applied-AI roadmap and AI-native investments; strong PLG expertise fits iViz self-serve.</t>
        </is>
      </c>
      <c r="K16" s="8" t="inlineStr">
        <is>
          <t>None competing directly with Foresight/iViz identified.</t>
        </is>
      </c>
      <c r="L16" s="9" t="n">
        <v>0</v>
      </c>
      <c r="M16" s="8" t="inlineStr">
        <is>
          <t>Unknown</t>
        </is>
      </c>
      <c r="N16" s="7" t="inlineStr">
        <is>
          <t>Steve Kraus</t>
        </is>
      </c>
      <c r="O16" s="7" t="inlineStr">
        <is>
          <t>Partner (healthcare)</t>
        </is>
      </c>
      <c r="P16" s="8" t="inlineStr">
        <is>
          <t>PLAUSIBLE via DLA Piper: Bessemer is a named DLA VC investor-client (repeat deal counsel). Ask which DLA partner currently covers the BVP relationship.</t>
        </is>
      </c>
      <c r="Q16" s="9" t="n">
        <v>4</v>
      </c>
      <c r="R16" s="9" t="n">
        <v>4</v>
      </c>
      <c r="S16" s="9" t="n">
        <v>3</v>
      </c>
      <c r="T16" s="9" t="n">
        <v>0</v>
      </c>
      <c r="U16" s="9" t="n">
        <v>3</v>
      </c>
      <c r="V16" s="9" t="n">
        <v>4</v>
      </c>
      <c r="W16" s="10">
        <f>MAX(0,ROUND(Q16/5*Weights!$B$3+R16/5*Weights!$B$4+S16/5*Weights!$B$5+T16/5*Weights!$B$6+U16/5*Weights!$B$7+V16/5*Weights!$B$8-L16*Weights!$B$9,0))</f>
        <v>66</v>
      </c>
      <c r="X16" s="10" t="str">
        <f>IF(W16&gt;=Weights!$B$12,"A",IF(W16&gt;=Weights!$B$13,"B","C"))</f>
        <v>B</v>
      </c>
      <c r="Y16" s="11" t="inlineStr">
        <is>
          <t>Not contacted</t>
        </is>
      </c>
      <c r="Z16" s="7" t="inlineStr">
        <is>
          <t>Nate</t>
        </is>
      </c>
      <c r="AA16" s="8" t="inlineStr">
        <is>
          <t>Ask DLA which partner covers Bessemer; confirm seed appetite (BVP leans later).</t>
        </is>
      </c>
      <c r="AB16" s="7" t="inlineStr">
        <is>
          <t>2026-09-30</t>
        </is>
      </c>
      <c r="AC16" s="8" t="inlineStr">
        <is>
          <t>https://www.bvp.com/atlas/roadmap-healthcare-ai; https://www.bvp.com/</t>
        </is>
      </c>
      <c r="AD16" s="8" t="inlineStr">
        <is>
          <t>Infra fit strengthens under the new positioning: system-of-record / vertical-SaaS is core BVP thesis. Morgan Cheatham left BVP for Breyer. Email inferred/unverified: steve@bvp.com (pattern first@bvp.com).</t>
        </is>
      </c>
    </row>
    <row r="17">
      <c r="A17" s="7" t="inlineStr">
        <is>
          <t>Amplify Partners</t>
        </is>
      </c>
      <c r="B17" s="7" t="inlineStr">
        <is>
          <t>Technical/AI-native seed fund</t>
        </is>
      </c>
      <c r="C17" s="7" t="inlineStr">
        <is>
          <t>Menlo Park, CA</t>
        </is>
      </c>
      <c r="D17" s="8" t="inlineStr">
        <is>
          <t>Active seed fund (size/vintage not re-verified)</t>
        </is>
      </c>
      <c r="E17" s="8" t="inlineStr">
        <is>
          <t>Seed, leads; data/ML infrastructure and applied AI</t>
        </is>
      </c>
      <c r="F17" s="7" t="inlineStr">
        <is>
          <t>Unknown</t>
        </is>
      </c>
      <c r="G17" s="7" t="inlineStr">
        <is>
          <t>Yes</t>
        </is>
      </c>
      <c r="H17" s="7" t="inlineStr">
        <is>
          <t>No</t>
        </is>
      </c>
      <c r="I17" s="8" t="inlineStr">
        <is>
          <t>Minimal life-science exposure; ML-infrastructure focus.</t>
        </is>
      </c>
      <c r="J17" s="8" t="inlineStr">
        <is>
          <t>AI-native seed investor; portfolio includes Modal, LangChain, Hex, direct analogs to iViz's data-tooling angle.</t>
        </is>
      </c>
      <c r="K17" s="8" t="inlineStr">
        <is>
          <t>Hex (analytics workbench) is an adjacent data-tooling holding, not a clinical competitor; note as thesis fit.</t>
        </is>
      </c>
      <c r="L17" s="9" t="n">
        <v>0</v>
      </c>
      <c r="M17" s="8" t="inlineStr">
        <is>
          <t>Unknown</t>
        </is>
      </c>
      <c r="N17" s="7" t="inlineStr">
        <is>
          <t>Sarah Catanzaro</t>
        </is>
      </c>
      <c r="O17" s="7" t="inlineStr">
        <is>
          <t>General Partner (ML/AI/data)</t>
        </is>
      </c>
      <c r="P17" s="8" t="inlineStr">
        <is>
          <t>LinkedIn; no named node confirmed.</t>
        </is>
      </c>
      <c r="Q17" s="9" t="n">
        <v>1</v>
      </c>
      <c r="R17" s="9" t="n">
        <v>5</v>
      </c>
      <c r="S17" s="9" t="n">
        <v>5</v>
      </c>
      <c r="T17" s="9" t="n">
        <v>0</v>
      </c>
      <c r="U17" s="9" t="n">
        <v>2</v>
      </c>
      <c r="V17" s="9" t="n">
        <v>4</v>
      </c>
      <c r="W17" s="10">
        <f>MAX(0,ROUND(Q17/5*Weights!$B$3+R17/5*Weights!$B$4+S17/5*Weights!$B$5+T17/5*Weights!$B$6+U17/5*Weights!$B$7+V17/5*Weights!$B$8-L17*Weights!$B$9,0))</f>
        <v>58</v>
      </c>
      <c r="X17" s="10" t="str">
        <f>IF(W17&gt;=Weights!$B$12,"A",IF(W17&gt;=Weights!$B$13,"B","C"))</f>
        <v>B</v>
      </c>
      <c r="Y17" s="11" t="inlineStr">
        <is>
          <t>Not contacted</t>
        </is>
      </c>
      <c r="Z17" s="7" t="inlineStr">
        <is>
          <t>Nate</t>
        </is>
      </c>
      <c r="AA17" s="8" t="inlineStr">
        <is>
          <t>Frame Coharts as an ML/data product (iViz); verify email.</t>
        </is>
      </c>
      <c r="AB17" s="7" t="inlineStr">
        <is>
          <t>2026-09-30</t>
        </is>
      </c>
      <c r="AC17" s="8" t="inlineStr">
        <is>
          <t>https://www.amplifypartners.com/team/sarah-catanzaro</t>
        </is>
      </c>
      <c r="AD17" s="8" t="inlineStr">
        <is>
          <t>Best fit is the iViz data-tooling angle, not the clinical vertical. Email inferred/unverified: sarah@amplifypartners.com.</t>
        </is>
      </c>
    </row>
    <row r="18">
      <c r="A18" s="7" t="inlineStr">
        <is>
          <t>Conviction</t>
        </is>
      </c>
      <c r="B18" s="7" t="inlineStr">
        <is>
          <t>Applied-AI seed/early fund</t>
        </is>
      </c>
      <c r="C18" s="7" t="inlineStr">
        <is>
          <t>San Francisco, CA</t>
        </is>
      </c>
      <c r="D18" s="8" t="inlineStr">
        <is>
          <t>Fund II, ~$230M, closed Jan 2025 (~$1B AUM reported 2026)</t>
        </is>
      </c>
      <c r="E18" s="8" t="inlineStr">
        <is>
          <t>Seed/first-round leads; applied and vertical AI</t>
        </is>
      </c>
      <c r="F18" s="7" t="inlineStr">
        <is>
          <t>$1M to $25M, often first investor</t>
        </is>
      </c>
      <c r="G18" s="7" t="inlineStr">
        <is>
          <t>Yes</t>
        </is>
      </c>
      <c r="H18" s="7" t="inlineStr">
        <is>
          <t>No</t>
        </is>
      </c>
      <c r="I18" s="8" t="inlineStr">
        <is>
          <t>Health is a named sector: OpenEvidence (clinical decision support, reported ~$12B valuation Jan 2026). Thesis explicitly names biology as a domain needing specialized data.</t>
        </is>
      </c>
      <c r="J18" s="8" t="inlineStr">
        <is>
          <t>Pure applied/vertical-AI thesis (names biology, materials, physical simulation). AI-native portfolio: Harvey, Sierra, Cognition, Mistral, Baseten. iViz workbench plus Mona/Merlin agents map to the thesis.</t>
        </is>
      </c>
      <c r="K18" s="8" t="inlineStr">
        <is>
          <t>OpenEvidence (clinical Q&amp;A/decision support, not a Foresight or iViz competitor).</t>
        </is>
      </c>
      <c r="L18" s="9" t="n">
        <v>0</v>
      </c>
      <c r="M18" s="8" t="inlineStr">
        <is>
          <t>Unknown</t>
        </is>
      </c>
      <c r="N18" s="7" t="inlineStr">
        <is>
          <t>Sarah Guo</t>
        </is>
      </c>
      <c r="O18" s="7" t="inlineStr">
        <is>
          <t>Founder and General Partner (alt: Mike Vernal, GP, infra/PLG for iViz)</t>
        </is>
      </c>
      <c r="P18" s="8" t="inlineStr">
        <is>
          <t>Cold with an open inbound process; no named node.</t>
        </is>
      </c>
      <c r="Q18" s="9" t="n">
        <v>3</v>
      </c>
      <c r="R18" s="9" t="n">
        <v>5</v>
      </c>
      <c r="S18" s="9" t="n">
        <v>5</v>
      </c>
      <c r="T18" s="9" t="n">
        <v>5</v>
      </c>
      <c r="U18" s="9" t="n">
        <v>1</v>
      </c>
      <c r="V18" s="9" t="n">
        <v>5</v>
      </c>
      <c r="W18" s="10">
        <f>MAX(0,ROUND(Q18/5*Weights!$B$3+R18/5*Weights!$B$4+S18/5*Weights!$B$5+T18/5*Weights!$B$6+U18/5*Weights!$B$7+V18/5*Weights!$B$8-L18*Weights!$B$9,0))</f>
        <v>80</v>
      </c>
      <c r="X18" s="10" t="str">
        <f>IF(W18&gt;=Weights!$B$12,"A",IF(W18&gt;=Weights!$B$13,"B","C"))</f>
        <v>A</v>
      </c>
      <c r="Y18" s="11" t="inlineStr">
        <is>
          <t>Not contacted</t>
        </is>
      </c>
      <c r="Z18" s="7" t="inlineStr">
        <is>
          <t>Nate</t>
        </is>
      </c>
      <c r="AA18" s="8" t="inlineStr">
        <is>
          <t>Lead with the Applied-AI + AI-for-science story; confirm personal email.</t>
        </is>
      </c>
      <c r="AB18" s="7" t="inlineStr">
        <is>
          <t>2026-09-30</t>
        </is>
      </c>
      <c r="AC18" s="8" t="inlineStr">
        <is>
          <t>https://www.forbes.com/sites/alexkonrad/2025/01/31/inside-venture-capital-great-reshuffling/; https://saranormous.substack.com/p/launching-with-conviction</t>
        </is>
      </c>
      <c r="AD18" s="8" t="inlineStr">
        <is>
          <t>Verified. Check 5: $1M-$25M range comfortably leads a $6M seed. Infra angle fits (Vernal = PLG/infra). Only functional inbox embed@conviction.com is confirmed; sarah@conviction.com / mike@conviction.com inferred, LOW confidence.</t>
        </is>
      </c>
    </row>
    <row r="19">
      <c r="A19" s="7" t="inlineStr">
        <is>
          <t>Radical Ventures</t>
        </is>
      </c>
      <c r="B19" s="7" t="inlineStr">
        <is>
          <t>AI-first fund (AI in Sciences thesis)</t>
        </is>
      </c>
      <c r="C19" s="7" t="inlineStr">
        <is>
          <t>Toronto / San Francisco</t>
        </is>
      </c>
      <c r="D19" s="8" t="inlineStr">
        <is>
          <t>$650M early-stage AI fund (final close ~2024); $800M growth (Aug 2024); &gt;$1B first close Breakouts fund (2025); ~$1.8B AUM</t>
        </is>
      </c>
      <c r="E19" s="8" t="inlineStr">
        <is>
          <t>Leads early-stage AI (seed to Series A)</t>
        </is>
      </c>
      <c r="F19" s="7" t="inlineStr">
        <is>
          <t>Unknown</t>
        </is>
      </c>
      <c r="G19" s="7" t="inlineStr">
        <is>
          <t>Yes</t>
        </is>
      </c>
      <c r="H19" s="7" t="inlineStr">
        <is>
          <t>No</t>
        </is>
      </c>
      <c r="I19" s="8" t="inlineStr">
        <is>
          <t>Formal 'AI in Sciences' thesis (generative AI for biology/chemistry/physics). Holdings: Genesis Therapeutics, Nabla Bio, Aspect Biosystems, Attuned Intelligence (healthcare AI). Led Attuned $13M seed (2025).</t>
        </is>
      </c>
      <c r="J19" s="8" t="inlineStr">
        <is>
          <t>AI-first fund with a published AI-in-sciences thesis and an AI-native portfolio that follows it. Strong fit for the Applied AI company narrative.</t>
        </is>
      </c>
      <c r="K19" s="8" t="inlineStr">
        <is>
          <t>Unlearn.AI: AI digital-twin control arms for clinical trials, a DIRECT Foresight competitor.</t>
        </is>
      </c>
      <c r="L19" s="9" t="n">
        <v>1</v>
      </c>
      <c r="M19" s="8" t="inlineStr">
        <is>
          <t>Unlearn.AI (digital-twin / in-silico clinical trials) competes head-on with Foresight.</t>
        </is>
      </c>
      <c r="N19" s="7" t="inlineStr">
        <is>
          <t>Sanjana Basu</t>
        </is>
      </c>
      <c r="O19" s="7" t="inlineStr">
        <is>
          <t>Partner (leads AI in Sciences; alt: Jordan Jacobs, Co-Founder/MP)</t>
        </is>
      </c>
      <c r="P19" s="8" t="inlineStr">
        <is>
          <t>Cold with an open inbound process; no named node.</t>
        </is>
      </c>
      <c r="Q19" s="9" t="n">
        <v>5</v>
      </c>
      <c r="R19" s="9" t="n">
        <v>5</v>
      </c>
      <c r="S19" s="9" t="n">
        <v>4</v>
      </c>
      <c r="T19" s="9" t="n">
        <v>0</v>
      </c>
      <c r="U19" s="9" t="n">
        <v>1</v>
      </c>
      <c r="V19" s="9" t="n">
        <v>5</v>
      </c>
      <c r="W19" s="10">
        <f>MAX(0,ROUND(Q19/5*Weights!$B$3+R19/5*Weights!$B$4+S19/5*Weights!$B$5+T19/5*Weights!$B$6+U19/5*Weights!$B$7+V19/5*Weights!$B$8-L19*Weights!$B$9,0))</f>
        <v>53</v>
      </c>
      <c r="X19" s="10" t="str">
        <f>IF(W19&gt;=Weights!$B$12,"A",IF(W19&gt;=Weights!$B$13,"B","C"))</f>
        <v>B</v>
      </c>
      <c r="Y19" s="11" t="inlineStr">
        <is>
          <t>Not contacted</t>
        </is>
      </c>
      <c r="Z19" s="7" t="inlineStr">
        <is>
          <t>Nate</t>
        </is>
      </c>
      <c r="AA19" s="8" t="inlineStr">
        <is>
          <t>CONFLICT (Unlearn.AI): angle on iViz / applied-AI only, or deprioritize for Foresight.</t>
        </is>
      </c>
      <c r="AB19" s="7" t="inlineStr">
        <is>
          <t>2026-09-30</t>
        </is>
      </c>
      <c r="AC19" s="8" t="inlineStr">
        <is>
          <t>https://radical.vc/investing-in-the-exponential-ai-in-sciences/; https://radical.vc/team/sanjana-basu/</t>
        </is>
      </c>
      <c r="AD19" s="8" t="inlineStr">
        <is>
          <t>Verified. Conflict penalty applied for Unlearn.AI. Absent the conflict this scores ~78 (Tier A); with it, ~53. Email inferred: sanjana@radical.vc (domain @radical.vc confirmed; convention assumed).</t>
        </is>
      </c>
    </row>
    <row r="20">
      <c r="A20" s="7" t="inlineStr">
        <is>
          <t>Basis Set Ventures</t>
        </is>
      </c>
      <c r="B20" s="7" t="inlineStr">
        <is>
          <t>AI/data-tooling seed fund</t>
        </is>
      </c>
      <c r="C20" s="7" t="inlineStr">
        <is>
          <t>San Francisco, CA</t>
        </is>
      </c>
      <c r="D20" s="8" t="inlineStr">
        <is>
          <t>Fund IV, $250M, closed Jan 2026 (Fund III $185M 2024)</t>
        </is>
      </c>
      <c r="E20" s="8" t="inlineStr">
        <is>
          <t>Seed, leads; vertical AI, infrastructure, automated workflows</t>
        </is>
      </c>
      <c r="F20" s="7" t="inlineStr">
        <is>
          <t>$2M to $3M seed (pre-seed ~$250K to $500K)</t>
        </is>
      </c>
      <c r="G20" s="7" t="inlineStr">
        <is>
          <t>Yes</t>
        </is>
      </c>
      <c r="H20" s="7" t="inlineStr">
        <is>
          <t>No</t>
        </is>
      </c>
      <c r="I20" s="8" t="inlineStr">
        <is>
          <t>Sectors explicitly include Biotech &amp; Life Sciences and Healthcare. Holdings: Cusp (CuspAI, molecular/materials foundation models), Neion (medicine), Basata (healthcare admin AI), Seen Health.</t>
        </is>
      </c>
      <c r="J20" s="8" t="inlineStr">
        <is>
          <t>AI-native since 2017; vertical-AI, infrastructure, and automated-workflow thesis. Strong fit for iViz's data-analysis/workflow-automation angle.</t>
        </is>
      </c>
      <c r="K20" s="8" t="inlineStr">
        <is>
          <t>Cusp (molecular/materials discovery, adjacent not competing); no clinical-trial-simulation or notebook/BI holding found.</t>
        </is>
      </c>
      <c r="L20" s="9" t="n">
        <v>0</v>
      </c>
      <c r="M20" s="8" t="inlineStr">
        <is>
          <t>Unknown</t>
        </is>
      </c>
      <c r="N20" s="7" t="inlineStr">
        <is>
          <t>Lan Xuezhao</t>
        </is>
      </c>
      <c r="O20" s="7" t="inlineStr">
        <is>
          <t>Founder and Managing Partner (alt: Chang Xu, Partner)</t>
        </is>
      </c>
      <c r="P20" s="8" t="inlineStr">
        <is>
          <t>PLAUSIBLE via DLA Piper: Basis Set GC Jennifer Lee is a DLA alum (ex-CVC co-chair); a DLA partner who overlapped with her can make a peer intro. Confirm with DLA.</t>
        </is>
      </c>
      <c r="Q20" s="9" t="n">
        <v>3</v>
      </c>
      <c r="R20" s="9" t="n">
        <v>5</v>
      </c>
      <c r="S20" s="9" t="n">
        <v>5</v>
      </c>
      <c r="T20" s="9" t="n">
        <v>3</v>
      </c>
      <c r="U20" s="9" t="n">
        <v>3</v>
      </c>
      <c r="V20" s="9" t="n">
        <v>5</v>
      </c>
      <c r="W20" s="10">
        <f>MAX(0,ROUND(Q20/5*Weights!$B$3+R20/5*Weights!$B$4+S20/5*Weights!$B$5+T20/5*Weights!$B$6+U20/5*Weights!$B$7+V20/5*Weights!$B$8-L20*Weights!$B$9,0))</f>
        <v>80</v>
      </c>
      <c r="X20" s="10" t="str">
        <f>IF(W20&gt;=Weights!$B$12,"A",IF(W20&gt;=Weights!$B$13,"B","C"))</f>
        <v>A</v>
      </c>
      <c r="Y20" s="11" t="inlineStr">
        <is>
          <t>Not contacted</t>
        </is>
      </c>
      <c r="Z20" s="7" t="inlineStr">
        <is>
          <t>Nate</t>
        </is>
      </c>
      <c r="AA20" s="8" t="inlineStr">
        <is>
          <t>Ask DLA about an alumni intro to GC Jennifer Lee / partner Lan Xuezhao; lead with iViz.</t>
        </is>
      </c>
      <c r="AB20" s="7" t="inlineStr">
        <is>
          <t>2026-09-30</t>
        </is>
      </c>
      <c r="AC20" s="8" t="inlineStr">
        <is>
          <t>https://en.wikipedia.org/wiki/Basis_Set_Ventures; https://www.basisset.com/basis-set-faq</t>
        </is>
      </c>
      <c r="AD20" s="8" t="inlineStr">
        <is>
          <t>Verified. Warm path via DLA alumni tie to GC Jennifer Lee; contingent on DLA making it. Email lan@basisset.com is Verified (pattern firstname@basisset.com); some databases list basisset.ventures, confirm first. $2-3M seed check fits as co-lead/participant more than a full seed lead.</t>
        </is>
      </c>
    </row>
    <row r="21">
      <c r="A21" s="7" t="inlineStr">
        <is>
          <t>Catalio Capital</t>
        </is>
      </c>
      <c r="B21" s="7" t="inlineStr">
        <is>
          <t>Biomedical therapeutics/devices fund</t>
        </is>
      </c>
      <c r="C21" s="7" t="inlineStr">
        <is>
          <t>New York / Baltimore</t>
        </is>
      </c>
      <c r="D21" s="8" t="inlineStr">
        <is>
          <t>Nexus Fund IV, &gt;$400M, Jul 2025</t>
        </is>
      </c>
      <c r="E21" s="8" t="inlineStr">
        <is>
          <t>Multistage biomedical; therapeutics and devices</t>
        </is>
      </c>
      <c r="F21" s="7" t="inlineStr">
        <is>
          <t>Unknown</t>
        </is>
      </c>
      <c r="G21" s="7" t="inlineStr">
        <is>
          <t>Rarely for software</t>
        </is>
      </c>
      <c r="H21" s="7" t="inlineStr">
        <is>
          <t>No</t>
        </is>
      </c>
      <c r="I21" s="8" t="inlineStr">
        <is>
          <t>Biomedical crossover but therapeutics/devices-weighted; software is rare. Better as a strategic angel than a lead.</t>
        </is>
      </c>
      <c r="J21" s="8" t="inlineStr">
        <is>
          <t>Limited applied-AI-software evidence.</t>
        </is>
      </c>
      <c r="K21" s="8" t="inlineStr">
        <is>
          <t>None competing directly with Foresight/iViz identified.</t>
        </is>
      </c>
      <c r="L21" s="9" t="n">
        <v>0</v>
      </c>
      <c r="M21" s="8" t="inlineStr">
        <is>
          <t>Unknown</t>
        </is>
      </c>
      <c r="N21" s="7" t="inlineStr">
        <is>
          <t>R. Jacob Vogelstein, PhD</t>
        </is>
      </c>
      <c r="O21" s="7" t="inlineStr">
        <is>
          <t>Co-Founder and Managing Partner</t>
        </is>
      </c>
      <c r="P21" s="8" t="inlineStr">
        <is>
          <t>Cold; no named node.</t>
        </is>
      </c>
      <c r="Q21" s="9" t="n">
        <v>3</v>
      </c>
      <c r="R21" s="9" t="n">
        <v>2</v>
      </c>
      <c r="S21" s="9" t="n">
        <v>2</v>
      </c>
      <c r="T21" s="9" t="n">
        <v>0</v>
      </c>
      <c r="U21" s="9" t="n">
        <v>1</v>
      </c>
      <c r="V21" s="9" t="n">
        <v>4</v>
      </c>
      <c r="W21" s="10">
        <f>MAX(0,ROUND(Q21/5*Weights!$B$3+R21/5*Weights!$B$4+S21/5*Weights!$B$5+T21/5*Weights!$B$6+U21/5*Weights!$B$7+V21/5*Weights!$B$8-L21*Weights!$B$9,0))</f>
        <v>44</v>
      </c>
      <c r="X21" s="10" t="str">
        <f>IF(W21&gt;=Weights!$B$12,"A",IF(W21&gt;=Weights!$B$13,"B","C"))</f>
        <v>C</v>
      </c>
      <c r="Y21" s="11" t="inlineStr">
        <is>
          <t>Not contacted</t>
        </is>
      </c>
      <c r="Z21" s="7" t="inlineStr">
        <is>
          <t>Nate</t>
        </is>
      </c>
      <c r="AA21" s="8" t="inlineStr">
        <is>
          <t>Approach as strategic/customer, not lead.</t>
        </is>
      </c>
      <c r="AB21" s="7" t="inlineStr">
        <is>
          <t>2026-09-30</t>
        </is>
      </c>
      <c r="AC21" s="8" t="inlineStr">
        <is>
          <t>https://www.cataliocapital.com/team/r-jacob-vogelstein; https://www.businesswire.com/news/home/20250701360026/en/</t>
        </is>
      </c>
      <c r="AD21" s="8" t="inlineStr">
        <is>
          <t>Screened but low fit for a software seed (therapeutics/devices focus). Email inferred: jacob@cataliocapital.com.</t>
        </is>
      </c>
    </row>
    <row r="22">
      <c r="A22" s="7" t="inlineStr">
        <is>
          <t>5AM Ventures</t>
        </is>
      </c>
      <c r="B22" s="7" t="inlineStr">
        <is>
          <t>Therapeutics biotech fund</t>
        </is>
      </c>
      <c r="C22" s="7" t="inlineStr">
        <is>
          <t>San Francisco / Boston</t>
        </is>
      </c>
      <c r="D22" s="8" t="inlineStr">
        <is>
          <t>Active biotech funds (recent close; date not re-verified)</t>
        </is>
      </c>
      <c r="E22" s="8" t="inlineStr">
        <is>
          <t>Biotech therapeutics company creation</t>
        </is>
      </c>
      <c r="F22" s="7" t="inlineStr">
        <is>
          <t>Unknown</t>
        </is>
      </c>
      <c r="G22" s="7" t="inlineStr">
        <is>
          <t>No (for software)</t>
        </is>
      </c>
      <c r="H22" s="7" t="inlineStr">
        <is>
          <t>No</t>
        </is>
      </c>
      <c r="I22" s="8" t="inlineStr">
        <is>
          <t>Pure therapeutics VC; builds and backs drug companies, not software vendors. Off-thesis for Coharts as a tool provider.</t>
        </is>
      </c>
      <c r="J22" s="8" t="inlineStr">
        <is>
          <t>Not an applied-AI-software investor.</t>
        </is>
      </c>
      <c r="K22" s="8" t="inlineStr">
        <is>
          <t>None; different category.</t>
        </is>
      </c>
      <c r="L22" s="9" t="n">
        <v>0</v>
      </c>
      <c r="M22" s="8" t="inlineStr">
        <is>
          <t>Unknown</t>
        </is>
      </c>
      <c r="N22" s="7" t="inlineStr">
        <is>
          <t>Andrew (Andy) Schwab</t>
        </is>
      </c>
      <c r="O22" s="7" t="inlineStr">
        <is>
          <t>Founder and Managing Partner</t>
        </is>
      </c>
      <c r="P22" s="8" t="inlineStr">
        <is>
          <t>Cold; no named node.</t>
        </is>
      </c>
      <c r="Q22" s="9" t="n">
        <v>1</v>
      </c>
      <c r="R22" s="9" t="n">
        <v>1</v>
      </c>
      <c r="S22" s="9" t="n">
        <v>1</v>
      </c>
      <c r="T22" s="9" t="n">
        <v>0</v>
      </c>
      <c r="U22" s="9" t="n">
        <v>1</v>
      </c>
      <c r="V22" s="9" t="n">
        <v>4</v>
      </c>
      <c r="W22" s="10">
        <f>MAX(0,ROUND(Q22/5*Weights!$B$3+R22/5*Weights!$B$4+S22/5*Weights!$B$5+T22/5*Weights!$B$6+U22/5*Weights!$B$7+V22/5*Weights!$B$8-L22*Weights!$B$9,0))</f>
        <v>24</v>
      </c>
      <c r="X22" s="10" t="str">
        <f>IF(W22&gt;=Weights!$B$12,"A",IF(W22&gt;=Weights!$B$13,"B","C"))</f>
        <v>C</v>
      </c>
      <c r="Y22" s="11" t="inlineStr">
        <is>
          <t>Not contacted</t>
        </is>
      </c>
      <c r="Z22" s="7" t="inlineStr">
        <is>
          <t>Nate</t>
        </is>
      </c>
      <c r="AA22" s="8" t="inlineStr">
        <is>
          <t>Deprioritize as an investor; possible customer/strategic only.</t>
        </is>
      </c>
      <c r="AB22" s="7" t="inlineStr">
        <is>
          <t>2026-09-30</t>
        </is>
      </c>
      <c r="AC22" s="8" t="inlineStr">
        <is>
          <t>https://5amventures.com/team/</t>
        </is>
      </c>
      <c r="AD22" s="8" t="inlineStr">
        <is>
          <t>Included to document the screen. Off-thesis (asset-owning therapeutics). Email inferred: aschwab@5amventures.com.</t>
        </is>
      </c>
    </row>
    <row r="23">
      <c r="A23" s="7" t="inlineStr">
        <is>
          <t>Sanofi Ventures</t>
        </is>
      </c>
      <c r="B23" s="7" t="inlineStr">
        <is>
          <t>Pharma corporate venture arm</t>
        </is>
      </c>
      <c r="C23" s="7" t="inlineStr">
        <is>
          <t>Cambridge, MA</t>
        </is>
      </c>
      <c r="D23" s="8" t="inlineStr">
        <is>
          <t>Evergreen; +$625M committed Sep 2025 (~$1.4B AUM)</t>
        </is>
      </c>
      <c r="E23" s="8" t="inlineStr">
        <is>
          <t>Early-stage; leads/co-leads biotech and digital health</t>
        </is>
      </c>
      <c r="F23" s="7" t="inlineStr">
        <is>
          <t>Unknown</t>
        </is>
      </c>
      <c r="G23" s="7" t="inlineStr">
        <is>
          <t>Selective</t>
        </is>
      </c>
      <c r="H23" s="7" t="inlineStr">
        <is>
          <t>No</t>
        </is>
      </c>
      <c r="I23" s="8" t="inlineStr">
        <is>
          <t>Deep biotech book (Atalanta, Glycomine, Draig 2025; 3 exits 2024 ~$3.25B). Explicit digital-health and data-science vertical.</t>
        </is>
      </c>
      <c r="J23" s="8" t="inlineStr">
        <is>
          <t>The $625M top-up (Sep 2025) was framed around AI; digital-health/data-science is a named vertical.</t>
        </is>
      </c>
      <c r="K23" s="8" t="inlineStr">
        <is>
          <t>None competing directly with Foresight/iViz identified.</t>
        </is>
      </c>
      <c r="L23" s="9" t="n">
        <v>0</v>
      </c>
      <c r="M23" s="8" t="inlineStr">
        <is>
          <t>Unknown</t>
        </is>
      </c>
      <c r="N23" s="7" t="inlineStr">
        <is>
          <t>Jason P. Hafler</t>
        </is>
      </c>
      <c r="O23" s="7" t="inlineStr">
        <is>
          <t>Managing Director (early-stage biotech + AI/digital health)</t>
        </is>
      </c>
      <c r="P23" s="8" t="inlineStr">
        <is>
          <t>Cold; no named node. Strategic: also a pharma buyer/POC path.</t>
        </is>
      </c>
      <c r="Q23" s="9" t="n">
        <v>5</v>
      </c>
      <c r="R23" s="9" t="n">
        <v>3</v>
      </c>
      <c r="S23" s="9" t="n">
        <v>3</v>
      </c>
      <c r="T23" s="9" t="n">
        <v>0</v>
      </c>
      <c r="U23" s="9" t="n">
        <v>1</v>
      </c>
      <c r="V23" s="9" t="n">
        <v>5</v>
      </c>
      <c r="W23" s="10">
        <f>MAX(0,ROUND(Q23/5*Weights!$B$3+R23/5*Weights!$B$4+S23/5*Weights!$B$5+T23/5*Weights!$B$6+U23/5*Weights!$B$7+V23/5*Weights!$B$8-L23*Weights!$B$9,0))</f>
        <v>66</v>
      </c>
      <c r="X23" s="10" t="str">
        <f>IF(W23&gt;=Weights!$B$12,"A",IF(W23&gt;=Weights!$B$13,"B","C"))</f>
        <v>B</v>
      </c>
      <c r="Y23" s="11" t="inlineStr">
        <is>
          <t>Not contacted</t>
        </is>
      </c>
      <c r="Z23" s="7" t="inlineStr">
        <is>
          <t>Nate</t>
        </is>
      </c>
      <c r="AA23" s="8" t="inlineStr">
        <is>
          <t>Approach as strategic (financial + POC); verify email.</t>
        </is>
      </c>
      <c r="AB23" s="7" t="inlineStr">
        <is>
          <t>2026-09-30</t>
        </is>
      </c>
      <c r="AC23" s="8" t="inlineStr">
        <is>
          <t>https://www.biospace.com/press-releases/press-release-sanofi-commits-an-additional-625-million-to-sanofi-ventures-to-accelerate-investment-in-biotech-and-digital-health-innovation; https://www.zoominfo.com/p/Jason-Hafler</t>
        </is>
      </c>
      <c r="AD23" s="8" t="inlineStr">
        <is>
          <t>CVC. Email inferred: jason.hafler@sanofi.com (ZoomInfo confirms j***@sanofi.com; Sanofi standard first.last@sanofi.com).</t>
        </is>
      </c>
    </row>
    <row r="24">
      <c r="A24" s="7" t="inlineStr">
        <is>
          <t>MSD Global Health Innovation Fund (GHIF)</t>
        </is>
      </c>
      <c r="B24" s="7" t="inlineStr">
        <is>
          <t>Pharma corporate venture arm</t>
        </is>
      </c>
      <c r="C24" s="7" t="inlineStr">
        <is>
          <t>Boston / Kenilworth, NJ</t>
        </is>
      </c>
      <c r="D24" s="8" t="inlineStr">
        <is>
          <t>Evergreen, ~$500M AUM; IDEA Studios (2024, ~$38M early-stage)</t>
        </is>
      </c>
      <c r="E24" s="8" t="inlineStr">
        <is>
          <t>Primarily GROWTH; IDEA Studios adds early engagement</t>
        </is>
      </c>
      <c r="F24" s="7" t="inlineStr">
        <is>
          <t>Unknown</t>
        </is>
      </c>
      <c r="G24" s="7" t="inlineStr">
        <is>
          <t>No (growth-stage)</t>
        </is>
      </c>
      <c r="H24" s="7" t="inlineStr">
        <is>
          <t>No</t>
        </is>
      </c>
      <c r="I24" s="8" t="inlineStr">
        <is>
          <t>Invests in digital-health and data-science companies that optimize biopharma operations, directly Coharts-adjacent.</t>
        </is>
      </c>
      <c r="J24" s="8" t="inlineStr">
        <is>
          <t>AI + healthcare-data is an intensifying thesis; digital-health/data-science mandate.</t>
        </is>
      </c>
      <c r="K24" s="8" t="inlineStr">
        <is>
          <t>None competing directly with Foresight/iViz identified.</t>
        </is>
      </c>
      <c r="L24" s="9" t="n">
        <v>0</v>
      </c>
      <c r="M24" s="8" t="inlineStr">
        <is>
          <t>Unknown</t>
        </is>
      </c>
      <c r="N24" s="7" t="inlineStr">
        <is>
          <t>Joel Krikston</t>
        </is>
      </c>
      <c r="O24" s="7" t="inlineStr">
        <is>
          <t>Managing Director, Venture Investments</t>
        </is>
      </c>
      <c r="P24" s="8" t="inlineStr">
        <is>
          <t>Cold; no named node. Strategic: pharma buyer/POC path.</t>
        </is>
      </c>
      <c r="Q24" s="9" t="n">
        <v>5</v>
      </c>
      <c r="R24" s="9" t="n">
        <v>3</v>
      </c>
      <c r="S24" s="9" t="n">
        <v>2</v>
      </c>
      <c r="T24" s="9" t="n">
        <v>0</v>
      </c>
      <c r="U24" s="9" t="n">
        <v>1</v>
      </c>
      <c r="V24" s="9" t="n">
        <v>4</v>
      </c>
      <c r="W24" s="10">
        <f>MAX(0,ROUND(Q24/5*Weights!$B$3+R24/5*Weights!$B$4+S24/5*Weights!$B$5+T24/5*Weights!$B$6+U24/5*Weights!$B$7+V24/5*Weights!$B$8-L24*Weights!$B$9,0))</f>
        <v>60</v>
      </c>
      <c r="X24" s="10" t="str">
        <f>IF(W24&gt;=Weights!$B$12,"A",IF(W24&gt;=Weights!$B$13,"B","C"))</f>
        <v>B</v>
      </c>
      <c r="Y24" s="11" t="inlineStr">
        <is>
          <t>Not contacted</t>
        </is>
      </c>
      <c r="Z24" s="7" t="inlineStr">
        <is>
          <t>Nate</t>
        </is>
      </c>
      <c r="AA24" s="8" t="inlineStr">
        <is>
          <t>Treat as strategic/later-round + POC, not a seed lead; verify email domain.</t>
        </is>
      </c>
      <c r="AB24" s="7" t="inlineStr">
        <is>
          <t>2026-09-30</t>
        </is>
      </c>
      <c r="AC24" s="8" t="inlineStr">
        <is>
          <t>https://www.msd.com/news/msd-launches-idea-studios-to-fuel-health-care-innovation/; https://www.crunchbase.com/organization/merck-global-health-innovation-fund</t>
        </is>
      </c>
      <c r="AD24" s="8" t="inlineStr">
        <is>
          <t>Growth-stage CVC, unlikely to lead a seed. Email inferred: joel.krikston@merck.com (or @msdghifund.com, unresolved).</t>
        </is>
      </c>
    </row>
    <row r="25">
      <c r="A25" s="7" t="inlineStr">
        <is>
          <t>Danaher Ventures</t>
        </is>
      </c>
      <c r="B25" s="7" t="inlineStr">
        <is>
          <t>Life-science instruments corporate venture arm</t>
        </is>
      </c>
      <c r="C25" s="7" t="inlineStr">
        <is>
          <t>Washington, DC</t>
        </is>
      </c>
      <c r="D25" s="8" t="inlineStr">
        <is>
          <t>Corporate CVC (founded 2017)</t>
        </is>
      </c>
      <c r="E25" s="8" t="inlineStr">
        <is>
          <t>Strategic early-stage co-investor; rarely sole seed lead</t>
        </is>
      </c>
      <c r="F25" s="7" t="inlineStr">
        <is>
          <t>Unknown</t>
        </is>
      </c>
      <c r="G25" s="7" t="inlineStr">
        <is>
          <t>Rarely (co-invests)</t>
        </is>
      </c>
      <c r="H25" s="7" t="inlineStr">
        <is>
          <t>No</t>
        </is>
      </c>
      <c r="I25" s="8" t="inlineStr">
        <is>
          <t>Biotech, diagnostics, life sciences, and data sciences mandate. Innovaccer partnership (Jan 2025); Scopio Labs, AI diagnostics (Jul 2025).</t>
        </is>
      </c>
      <c r="J25" s="8" t="inlineStr">
        <is>
          <t>Healthcare-AI deals (Innovaccer, Scopio); data-sciences is a named focus.</t>
        </is>
      </c>
      <c r="K25" s="8" t="inlineStr">
        <is>
          <t>None competing directly with Foresight/iViz identified.</t>
        </is>
      </c>
      <c r="L25" s="9" t="n">
        <v>0</v>
      </c>
      <c r="M25" s="8" t="inlineStr">
        <is>
          <t>Unknown</t>
        </is>
      </c>
      <c r="N25" s="7" t="inlineStr">
        <is>
          <t>Murali Venkatesan</t>
        </is>
      </c>
      <c r="O25" s="7" t="inlineStr">
        <is>
          <t>VP and Head of Danaher Ventures (Americas &amp; Europe)</t>
        </is>
      </c>
      <c r="P25" s="8" t="inlineStr">
        <is>
          <t>Cold; no named node. Strategic: instruments/data ecosystem.</t>
        </is>
      </c>
      <c r="Q25" s="9" t="n">
        <v>5</v>
      </c>
      <c r="R25" s="9" t="n">
        <v>3</v>
      </c>
      <c r="S25" s="9" t="n">
        <v>2</v>
      </c>
      <c r="T25" s="9" t="n">
        <v>0</v>
      </c>
      <c r="U25" s="9" t="n">
        <v>1</v>
      </c>
      <c r="V25" s="9" t="n">
        <v>4</v>
      </c>
      <c r="W25" s="10">
        <f>MAX(0,ROUND(Q25/5*Weights!$B$3+R25/5*Weights!$B$4+S25/5*Weights!$B$5+T25/5*Weights!$B$6+U25/5*Weights!$B$7+V25/5*Weights!$B$8-L25*Weights!$B$9,0))</f>
        <v>60</v>
      </c>
      <c r="X25" s="10" t="str">
        <f>IF(W25&gt;=Weights!$B$12,"A",IF(W25&gt;=Weights!$B$13,"B","C"))</f>
        <v>B</v>
      </c>
      <c r="Y25" s="11" t="inlineStr">
        <is>
          <t>Not contacted</t>
        </is>
      </c>
      <c r="Z25" s="7" t="inlineStr">
        <is>
          <t>Nate</t>
        </is>
      </c>
      <c r="AA25" s="8" t="inlineStr">
        <is>
          <t>Approach as strategic co-investor; verify email.</t>
        </is>
      </c>
      <c r="AB25" s="7" t="inlineStr">
        <is>
          <t>2026-09-30</t>
        </is>
      </c>
      <c r="AC25" s="8" t="inlineStr">
        <is>
          <t>https://www.danaher.com/danaher-ventures; https://www.prnewswire.com/news-releases/danaher-announces-investment-partnership-in-innovaccer-inc-302347452.html</t>
        </is>
      </c>
      <c r="AD25" s="8" t="inlineStr">
        <is>
          <t>CVC, strategic co-investor. Email inferred: murali.venkatesan@danaher.com (first.last@danaher.com).</t>
        </is>
      </c>
    </row>
    <row r="26">
      <c r="A26" s="7" t="inlineStr">
        <is>
          <t>Thermo Fisher Strategic Capital</t>
        </is>
      </c>
      <c r="B26" s="7" t="inlineStr">
        <is>
          <t>Life-science instruments corporate venture arm</t>
        </is>
      </c>
      <c r="C26" s="7" t="inlineStr">
        <is>
          <t>Waltham, MA</t>
        </is>
      </c>
      <c r="D26" s="8" t="inlineStr">
        <is>
          <t>Corporate strategic-capital team</t>
        </is>
      </c>
      <c r="E26" s="8" t="inlineStr">
        <is>
          <t>Strategic co-investor; not a lead</t>
        </is>
      </c>
      <c r="F26" s="7" t="inlineStr">
        <is>
          <t>Unknown</t>
        </is>
      </c>
      <c r="G26" s="7" t="inlineStr">
        <is>
          <t>No (co-invests)</t>
        </is>
      </c>
      <c r="H26" s="7" t="inlineStr">
        <is>
          <t>No</t>
        </is>
      </c>
      <c r="I26" s="8" t="inlineStr">
        <is>
          <t>Life sciences, diagnostics, devices, disease modeling. Backed CytoReason (computational biology, $80M Series B) and miDiagnostics.</t>
        </is>
      </c>
      <c r="J26" s="8" t="inlineStr">
        <is>
          <t>Disease-modeling / computational-biology exposure (CytoReason) adjacent to Coharts' simulation story.</t>
        </is>
      </c>
      <c r="K26" s="8" t="inlineStr">
        <is>
          <t>CytoReason (disease modeling for targets/biomarkers, adjacent not competing).</t>
        </is>
      </c>
      <c r="L26" s="9" t="n">
        <v>0</v>
      </c>
      <c r="M26" s="8" t="inlineStr">
        <is>
          <t>Unknown</t>
        </is>
      </c>
      <c r="N26" s="7" t="inlineStr">
        <is>
          <t>Bhooshi De Silva</t>
        </is>
      </c>
      <c r="O26" s="7" t="inlineStr">
        <is>
          <t>Head of Strategic Capital (alt: Carson Massey, Associate Director)</t>
        </is>
      </c>
      <c r="P26" s="8" t="inlineStr">
        <is>
          <t>Cold; no named node. Strategic: instruments ecosystem.</t>
        </is>
      </c>
      <c r="Q26" s="9" t="n">
        <v>5</v>
      </c>
      <c r="R26" s="9" t="n">
        <v>3</v>
      </c>
      <c r="S26" s="9" t="n">
        <v>2</v>
      </c>
      <c r="T26" s="9" t="n">
        <v>0</v>
      </c>
      <c r="U26" s="9" t="n">
        <v>1</v>
      </c>
      <c r="V26" s="9" t="n">
        <v>3</v>
      </c>
      <c r="W26" s="10">
        <f>MAX(0,ROUND(Q26/5*Weights!$B$3+R26/5*Weights!$B$4+S26/5*Weights!$B$5+T26/5*Weights!$B$6+U26/5*Weights!$B$7+V26/5*Weights!$B$8-L26*Weights!$B$9,0))</f>
        <v>58</v>
      </c>
      <c r="X26" s="10" t="str">
        <f>IF(W26&gt;=Weights!$B$12,"A",IF(W26&gt;=Weights!$B$13,"B","C"))</f>
        <v>B</v>
      </c>
      <c r="Y26" s="11" t="inlineStr">
        <is>
          <t>Not contacted</t>
        </is>
      </c>
      <c r="Z26" s="7" t="inlineStr">
        <is>
          <t>Nate</t>
        </is>
      </c>
      <c r="AA26" s="8" t="inlineStr">
        <is>
          <t>Approach as strategic co-investor; verify email.</t>
        </is>
      </c>
      <c r="AB26" s="7" t="inlineStr">
        <is>
          <t>2026-09-30</t>
        </is>
      </c>
      <c r="AC26" s="8" t="inlineStr">
        <is>
          <t>https://globalventuring.com/corporate/people/thermo-fisher-scientific-brings-massey-onboard/; https://www.cbinsights.com/investor/thermo-fisher-scientific</t>
        </is>
      </c>
      <c r="AD26" s="8" t="inlineStr">
        <is>
          <t>CVC, strategic co-investor, not a lead. Email inferred: bhooshi.desilva@thermofisher.com (first.last@thermofisher.com).</t>
        </is>
      </c>
    </row>
    <row r="27">
      <c r="A27" s="7" t="inlineStr">
        <is>
          <t>UPMC Enterprises</t>
        </is>
      </c>
      <c r="B27" s="7" t="inlineStr">
        <is>
          <t>Health-system venture/commercialization arm</t>
        </is>
      </c>
      <c r="C27" s="7" t="inlineStr">
        <is>
          <t>Pittsburgh, PA</t>
        </is>
      </c>
      <c r="D27" s="8" t="inlineStr">
        <is>
          <t>$1B committed to life-sciences investing</t>
        </is>
      </c>
      <c r="E27" s="8" t="inlineStr">
        <is>
          <t>Leads rounds; digital health + translational science</t>
        </is>
      </c>
      <c r="F27" s="7" t="inlineStr">
        <is>
          <t>Unknown</t>
        </is>
      </c>
      <c r="G27" s="7" t="inlineStr">
        <is>
          <t>Yes</t>
        </is>
      </c>
      <c r="H27" s="7" t="inlineStr">
        <is>
          <t>No</t>
        </is>
      </c>
      <c r="I27" s="8" t="inlineStr">
        <is>
          <t>Led Carta Healthcare ~$18.25M Series B1 (AI clinical-data management, expanding into life sciences). Also Abridge, Astrata, Medicom.</t>
        </is>
      </c>
      <c r="J27" s="8" t="inlineStr">
        <is>
          <t>Explicit AI-powered clinical-data thesis; led an AI clinical-data round.</t>
        </is>
      </c>
      <c r="K27" s="8" t="inlineStr">
        <is>
          <t>Carta Healthcare (clinical-data abstraction expanding to life sciences, adjacent to iViz/PRISM data; watch overlap, not a notebook/BI competitor).</t>
        </is>
      </c>
      <c r="L27" s="9" t="n">
        <v>0</v>
      </c>
      <c r="M27" s="8" t="inlineStr">
        <is>
          <t>Unknown</t>
        </is>
      </c>
      <c r="N27" s="7" t="inlineStr">
        <is>
          <t>Brent Burns</t>
        </is>
      </c>
      <c r="O27" s="7" t="inlineStr">
        <is>
          <t>EVP, UPMC Enterprises (confirm investment-team deal lead)</t>
        </is>
      </c>
      <c r="P27" s="8" t="inlineStr">
        <is>
          <t>Plausible via clinical partnerships; no named node confirmed. Mission-aligned health system.</t>
        </is>
      </c>
      <c r="Q27" s="9" t="n">
        <v>5</v>
      </c>
      <c r="R27" s="9" t="n">
        <v>4</v>
      </c>
      <c r="S27" s="9" t="n">
        <v>4</v>
      </c>
      <c r="T27" s="9" t="n">
        <v>0</v>
      </c>
      <c r="U27" s="9" t="n">
        <v>2</v>
      </c>
      <c r="V27" s="9" t="n">
        <v>4</v>
      </c>
      <c r="W27" s="10">
        <f>MAX(0,ROUND(Q27/5*Weights!$B$3+R27/5*Weights!$B$4+S27/5*Weights!$B$5+T27/5*Weights!$B$6+U27/5*Weights!$B$7+V27/5*Weights!$B$8-L27*Weights!$B$9,0))</f>
        <v>74</v>
      </c>
      <c r="X27" s="10" t="str">
        <f>IF(W27&gt;=Weights!$B$12,"A",IF(W27&gt;=Weights!$B$13,"B","C"))</f>
        <v>A</v>
      </c>
      <c r="Y27" s="11" t="inlineStr">
        <is>
          <t>Not contacted</t>
        </is>
      </c>
      <c r="Z27" s="7" t="inlineStr">
        <is>
          <t>Nate</t>
        </is>
      </c>
      <c r="AA27" s="8" t="inlineStr">
        <is>
          <t>Cleanest Segment B lead-fit; identify deal-team partner + email; explore PRISM/validation data angle.</t>
        </is>
      </c>
      <c r="AB27" s="7" t="inlineStr">
        <is>
          <t>2026-09-30</t>
        </is>
      </c>
      <c r="AC27" s="8" t="inlineStr">
        <is>
          <t>https://enterprises.upmc.com/resources/insights/upmc-enterprises-leads-investment-round-in-carta-healthcare-to-advance-ai-powered-clinical-data-management/</t>
        </is>
      </c>
      <c r="AD27" s="8" t="inlineStr">
        <is>
          <t>Strongest Segment B fit (leads, AI clinical-data thesis). Email convention Unknown; do not rely.</t>
        </is>
      </c>
    </row>
    <row r="28">
      <c r="A28" s="7" t="inlineStr">
        <is>
          <t>Osage University Partners (OUP)</t>
        </is>
      </c>
      <c r="B28" s="7" t="inlineStr">
        <is>
          <t>University-spinout fund</t>
        </is>
      </c>
      <c r="C28" s="7" t="inlineStr">
        <is>
          <t>Bala Cynwyd, PA</t>
        </is>
      </c>
      <c r="D28" s="8" t="inlineStr">
        <is>
          <t>Fund IV (launched 2023); ~$800M AUM</t>
        </is>
      </c>
      <c r="E28" s="8" t="inlineStr">
        <is>
          <t>Seed to late, co-invests/follows; university-IP spinouts only</t>
        </is>
      </c>
      <c r="F28" s="7" t="inlineStr">
        <is>
          <t>Unknown</t>
        </is>
      </c>
      <c r="G28" s="7" t="inlineStr">
        <is>
          <t>Rarely (follows)</t>
        </is>
      </c>
      <c r="H28" s="7" t="inlineStr">
        <is>
          <t>No</t>
        </is>
      </c>
      <c r="I28" s="8" t="inlineStr">
        <is>
          <t>Life sciences + tech across 100+ university partnerships; 130+ portfolio, 33 IPOs. 2025 Penn/BioNTech $50M university-IP fund.</t>
        </is>
      </c>
      <c r="J28" s="8" t="inlineStr">
        <is>
          <t>Invests across software/AI, but selection is gated by university-IP origin, not thesis.</t>
        </is>
      </c>
      <c r="K28" s="8" t="inlineStr">
        <is>
          <t>None competing directly with Foresight/iViz identified.</t>
        </is>
      </c>
      <c r="L28" s="9" t="n">
        <v>0</v>
      </c>
      <c r="M28" s="8" t="inlineStr">
        <is>
          <t>Unknown</t>
        </is>
      </c>
      <c r="N28" s="7" t="inlineStr">
        <is>
          <t>Marc Singer</t>
        </is>
      </c>
      <c r="O28" s="7" t="inlineStr">
        <is>
          <t>Managing Partner (alt: Bill Harrington, MP)</t>
        </is>
      </c>
      <c r="P28" s="8" t="inlineStr">
        <is>
          <t>Cold; no named node.</t>
        </is>
      </c>
      <c r="Q28" s="9" t="n">
        <v>4</v>
      </c>
      <c r="R28" s="9" t="n">
        <v>3</v>
      </c>
      <c r="S28" s="9" t="n">
        <v>2</v>
      </c>
      <c r="T28" s="9" t="n">
        <v>0</v>
      </c>
      <c r="U28" s="9" t="n">
        <v>1</v>
      </c>
      <c r="V28" s="9" t="n">
        <v>4</v>
      </c>
      <c r="W28" s="10">
        <f>MAX(0,ROUND(Q28/5*Weights!$B$3+R28/5*Weights!$B$4+S28/5*Weights!$B$5+T28/5*Weights!$B$6+U28/5*Weights!$B$7+V28/5*Weights!$B$8-L28*Weights!$B$9,0))</f>
        <v>54</v>
      </c>
      <c r="X28" s="10" t="str">
        <f>IF(W28&gt;=Weights!$B$12,"A",IF(W28&gt;=Weights!$B$13,"B","C"))</f>
        <v>B</v>
      </c>
      <c r="Y28" s="11" t="inlineStr">
        <is>
          <t>Not contacted</t>
        </is>
      </c>
      <c r="Z28" s="7" t="inlineStr">
        <is>
          <t>Nate</t>
        </is>
      </c>
      <c r="AA28" s="8" t="inlineStr">
        <is>
          <t>HARD GATE: only if Coharts licenses university IP. Confirm eligibility before any outreach.</t>
        </is>
      </c>
      <c r="AB28" s="7" t="inlineStr">
        <is>
          <t>2026-09-30</t>
        </is>
      </c>
      <c r="AC28" s="8" t="inlineStr">
        <is>
          <t>https://news.crunchbase.com/venture/osage-university-partners-raises-third-fund-for-university-research-spinouts/</t>
        </is>
      </c>
      <c r="AD28" s="8" t="inlineStr">
        <is>
          <t>Eligibility gate: invests ONLY in startups licensing university IP, and typically co-invests. Domain @oup.vc confirmed; marc@oup.vc / msinger@oup.vc inferred.</t>
        </is>
      </c>
    </row>
    <row r="29">
      <c r="A29" s="7" t="inlineStr">
        <is>
          <t>The Engine Ventures</t>
        </is>
      </c>
      <c r="B29" s="7" t="inlineStr">
        <is>
          <t>MIT-affiliated tough-tech fund</t>
        </is>
      </c>
      <c r="C29" s="7" t="inlineStr">
        <is>
          <t>Cambridge, MA</t>
        </is>
      </c>
      <c r="D29" s="8" t="inlineStr">
        <is>
          <t>Fund III, $398M, closed Jun 2024 (&gt;$1B AUM)</t>
        </is>
      </c>
      <c r="E29" s="8" t="inlineStr">
        <is>
          <t>Pre-seed to Series B, leads; MIT/research-origin tough tech</t>
        </is>
      </c>
      <c r="F29" s="7" t="inlineStr">
        <is>
          <t>Unknown</t>
        </is>
      </c>
      <c r="G29" s="7" t="inlineStr">
        <is>
          <t>Yes</t>
        </is>
      </c>
      <c r="H29" s="7" t="inlineStr">
        <is>
          <t>No</t>
        </is>
      </c>
      <c r="I29" s="8" t="inlineStr">
        <is>
          <t>Health + bio among sectors, but oriented to hard/deep tech (labs, materials, bio-hardware).</t>
        </is>
      </c>
      <c r="J29" s="8" t="inlineStr">
        <is>
          <t>AI among sectors; origin/tough-tech preference outweighs a pure-software AI thesis.</t>
        </is>
      </c>
      <c r="K29" s="8" t="inlineStr">
        <is>
          <t>None competing directly with Foresight/iViz identified.</t>
        </is>
      </c>
      <c r="L29" s="9" t="n">
        <v>0</v>
      </c>
      <c r="M29" s="8" t="inlineStr">
        <is>
          <t>Unknown</t>
        </is>
      </c>
      <c r="N29" s="7" t="inlineStr">
        <is>
          <t>Ann DeWitt</t>
        </is>
      </c>
      <c r="O29" s="7" t="inlineStr">
        <is>
          <t>General Partner (life sciences/bio; alt: Michael Kearney, GP)</t>
        </is>
      </c>
      <c r="P29" s="8" t="inlineStr">
        <is>
          <t>Cold; no named node.</t>
        </is>
      </c>
      <c r="Q29" s="9" t="n">
        <v>3</v>
      </c>
      <c r="R29" s="9" t="n">
        <v>3</v>
      </c>
      <c r="S29" s="9" t="n">
        <v>3</v>
      </c>
      <c r="T29" s="9" t="n">
        <v>0</v>
      </c>
      <c r="U29" s="9" t="n">
        <v>1</v>
      </c>
      <c r="V29" s="9" t="n">
        <v>5</v>
      </c>
      <c r="W29" s="10">
        <f>MAX(0,ROUND(Q29/5*Weights!$B$3+R29/5*Weights!$B$4+S29/5*Weights!$B$5+T29/5*Weights!$B$6+U29/5*Weights!$B$7+V29/5*Weights!$B$8-L29*Weights!$B$9,0))</f>
        <v>54</v>
      </c>
      <c r="X29" s="10" t="str">
        <f>IF(W29&gt;=Weights!$B$12,"A",IF(W29&gt;=Weights!$B$13,"B","C"))</f>
        <v>B</v>
      </c>
      <c r="Y29" s="11" t="inlineStr">
        <is>
          <t>Not contacted</t>
        </is>
      </c>
      <c r="Z29" s="7" t="inlineStr">
        <is>
          <t>Nate</t>
        </is>
      </c>
      <c r="AA29" s="8" t="inlineStr">
        <is>
          <t>Fit gate: strongest with an MIT/research-origin or tough-tech tie. Confirm before prioritizing.</t>
        </is>
      </c>
      <c r="AB29" s="7" t="inlineStr">
        <is>
          <t>2026-09-30</t>
        </is>
      </c>
      <c r="AC29" s="8" t="inlineStr">
        <is>
          <t>https://www.forbes.com/sites/alexknapp/2024/06/18/mit-spinout-the-engine-ventures-raises-new-400-million-fund-to-tackle-techs-toughest-problems/; https://engineventures.com/about/leadership</t>
        </is>
      </c>
      <c r="AD29" s="8" t="inlineStr">
        <is>
          <t>Prefers MIT/research-institution origin, deep/hard tech; pure-software applied-AI is a softer fit. Email inferred: ann@engineventures.com (first@engineventures.com ~85%).</t>
        </is>
      </c>
    </row>
    <row r="30">
      <c r="A30" s="7" t="inlineStr">
        <is>
          <t>Alexandria Venture Investments</t>
        </is>
      </c>
      <c r="B30" s="7" t="inlineStr">
        <is>
          <t>Real-estate-affiliated life-science venture arm</t>
        </is>
      </c>
      <c r="C30" s="7" t="inlineStr">
        <is>
          <t>Pasadena, CA</t>
        </is>
      </c>
      <c r="D30" s="8" t="inlineStr">
        <is>
          <t>Venture affiliate of Alexandria Real Estate (NYSE: ARE)</t>
        </is>
      </c>
      <c r="E30" s="8" t="inlineStr">
        <is>
          <t>Seed to late, co-invests via lab-tenant ecosystem; rarely sole-leads</t>
        </is>
      </c>
      <c r="F30" s="7" t="inlineStr">
        <is>
          <t>Unknown (avg seed ~$10M)</t>
        </is>
      </c>
      <c r="G30" s="7" t="inlineStr">
        <is>
          <t>Rarely (co-invests)</t>
        </is>
      </c>
      <c r="H30" s="7" t="inlineStr">
        <is>
          <t>No</t>
        </is>
      </c>
      <c r="I30" s="8" t="inlineStr">
        <is>
          <t>Very active in biotech/diagnostics (~$2.7B, 32 new companies 2024), but wet-lab/therapeutics oriented.</t>
        </is>
      </c>
      <c r="J30" s="8" t="inlineStr">
        <is>
          <t>Limited; some AI-clinical-workflow exposure (mediaire). Thin for a software IaaS.</t>
        </is>
      </c>
      <c r="K30" s="8" t="inlineStr">
        <is>
          <t>None competing directly with Foresight/iViz identified.</t>
        </is>
      </c>
      <c r="L30" s="9" t="n">
        <v>0</v>
      </c>
      <c r="M30" s="8" t="inlineStr">
        <is>
          <t>Unknown</t>
        </is>
      </c>
      <c r="N30" s="7" t="inlineStr">
        <is>
          <t>Unknown (route via venture team, not Exec Chairman Joel Marcus)</t>
        </is>
      </c>
      <c r="O30" s="7" t="inlineStr">
        <is>
          <t>Unknown</t>
        </is>
      </c>
      <c r="P30" s="8" t="inlineStr">
        <is>
          <t>Cold; no named node.</t>
        </is>
      </c>
      <c r="Q30" s="9" t="n">
        <v>4</v>
      </c>
      <c r="R30" s="9" t="n">
        <v>2</v>
      </c>
      <c r="S30" s="9" t="n">
        <v>2</v>
      </c>
      <c r="T30" s="9" t="n">
        <v>0</v>
      </c>
      <c r="U30" s="9" t="n">
        <v>1</v>
      </c>
      <c r="V30" s="9" t="n">
        <v>5</v>
      </c>
      <c r="W30" s="10">
        <f>MAX(0,ROUND(Q30/5*Weights!$B$3+R30/5*Weights!$B$4+S30/5*Weights!$B$5+T30/5*Weights!$B$6+U30/5*Weights!$B$7+V30/5*Weights!$B$8-L30*Weights!$B$9,0))</f>
        <v>52</v>
      </c>
      <c r="X30" s="10" t="str">
        <f>IF(W30&gt;=Weights!$B$12,"A",IF(W30&gt;=Weights!$B$13,"B","C"))</f>
        <v>B</v>
      </c>
      <c r="Y30" s="11" t="inlineStr">
        <is>
          <t>Not contacted</t>
        </is>
      </c>
      <c r="Z30" s="7" t="inlineStr">
        <is>
          <t>Nate</t>
        </is>
      </c>
      <c r="AA30" s="8" t="inlineStr">
        <is>
          <t>Moderate fit (wet-lab oriented, co-invests); identify a venture-team contact.</t>
        </is>
      </c>
      <c r="AB30" s="7" t="inlineStr">
        <is>
          <t>2026-09-30</t>
        </is>
      </c>
      <c r="AC30" s="8" t="inlineStr">
        <is>
          <t>https://tracxn.com/d/venture-capital/alexandria-venture-investments/; https://pharmashots.com/23062/know-your-investor-alexandria-venture-may25-edition/</t>
        </is>
      </c>
      <c r="AD30" s="8" t="inlineStr">
        <is>
          <t>Wet-lab/therapeutics oriented; moderate fit for software IaaS. Best-fit partner Unknown; corporate domain likely @are.com (inferred).</t>
        </is>
      </c>
    </row>
    <row r="31">
      <c r="A31" s="7" t="inlineStr">
        <is>
          <t>Mayo Clinic Ventures / Platform</t>
        </is>
      </c>
      <c r="B31" s="7" t="inlineStr">
        <is>
          <t>Health-system venture + IP commercialization</t>
        </is>
      </c>
      <c r="C31" s="7" t="inlineStr">
        <is>
          <t>Rochester, MN</t>
        </is>
      </c>
      <c r="D31" s="8" t="inlineStr">
        <is>
          <t>Mayo Clinic Ventures; Platform_Accelerate + Platform_Insights (2025)</t>
        </is>
      </c>
      <c r="E31" s="8" t="inlineStr">
        <is>
          <t>IP commercialization + accelerator/co-invest; sole-lead seed unconfirmed</t>
        </is>
      </c>
      <c r="F31" s="7" t="inlineStr">
        <is>
          <t>Unknown</t>
        </is>
      </c>
      <c r="G31" s="7" t="inlineStr">
        <is>
          <t>Unknown</t>
        </is>
      </c>
      <c r="H31" s="7" t="inlineStr">
        <is>
          <t>No</t>
        </is>
      </c>
      <c r="I31" s="8" t="inlineStr">
        <is>
          <t>Large-scale clinical data (26 PB) + AI-digital-health; Platform_Accelerate cohorts of AI health-tech startups.</t>
        </is>
      </c>
      <c r="J31" s="8" t="inlineStr">
        <is>
          <t>AI + real-world clinical data + clinical-research applications, directly relevant to Foresight validation and iViz.</t>
        </is>
      </c>
      <c r="K31" s="8" t="inlineStr">
        <is>
          <t>None competing directly with Foresight/iViz identified.</t>
        </is>
      </c>
      <c r="L31" s="9" t="n">
        <v>0</v>
      </c>
      <c r="M31" s="8" t="inlineStr">
        <is>
          <t>Unknown</t>
        </is>
      </c>
      <c r="N31" s="7" t="inlineStr">
        <is>
          <t>Unknown (Mayo Clinic Ventures investment lead)</t>
        </is>
      </c>
      <c r="O31" s="7" t="inlineStr">
        <is>
          <t>Unknown</t>
        </is>
      </c>
      <c r="P31" s="8" t="inlineStr">
        <is>
          <t>Plausible via clinical/data partnership (Platform_Insights); no named node.</t>
        </is>
      </c>
      <c r="Q31" s="9" t="n">
        <v>5</v>
      </c>
      <c r="R31" s="9" t="n">
        <v>4</v>
      </c>
      <c r="S31" s="9" t="n">
        <v>2</v>
      </c>
      <c r="T31" s="9" t="n">
        <v>0</v>
      </c>
      <c r="U31" s="9" t="n">
        <v>2</v>
      </c>
      <c r="V31" s="9" t="n">
        <v>3</v>
      </c>
      <c r="W31" s="10">
        <f>MAX(0,ROUND(Q31/5*Weights!$B$3+R31/5*Weights!$B$4+S31/5*Weights!$B$5+T31/5*Weights!$B$6+U31/5*Weights!$B$7+V31/5*Weights!$B$8-L31*Weights!$B$9,0))</f>
        <v>64</v>
      </c>
      <c r="X31" s="10" t="str">
        <f>IF(W31&gt;=Weights!$B$12,"A",IF(W31&gt;=Weights!$B$13,"B","C"))</f>
        <v>B</v>
      </c>
      <c r="Y31" s="11" t="inlineStr">
        <is>
          <t>Not contacted</t>
        </is>
      </c>
      <c r="Z31" s="7" t="inlineStr">
        <is>
          <t>Nate</t>
        </is>
      </c>
      <c r="AA31" s="8" t="inlineStr">
        <is>
          <t>Pursue as validation-data + accelerator partnership as much as investment; identify contact.</t>
        </is>
      </c>
      <c r="AB31" s="7" t="inlineStr">
        <is>
          <t>2026-09-30</t>
        </is>
      </c>
      <c r="AC31" s="8" t="inlineStr">
        <is>
          <t>https://newsnetwork.mayoclinic.org/discussion/mayo-clinic-launches-mayo-clinic-platform_insights-to-advance-digital-innovation-and-quality-improvement-across-healthcare/; https://hitconsultant.net/2025/10/14/mayo-clinic-platform_accelerate-unveils-new-cohort-of-ai-health-tech-startups/</t>
        </is>
      </c>
      <c r="AD31" s="8" t="inlineStr">
        <is>
          <t>Strategic/accelerator + data partner (Platform_Insights) as much as investor. Specific investment contact + email Unknown; Mayo domain @mayo.edu.</t>
        </is>
      </c>
    </row>
    <row r="32">
      <c r="A32" s="7" t="inlineStr">
        <is>
          <t>Artis Ventures (AV)</t>
        </is>
      </c>
      <c r="B32" s="7" t="inlineStr">
        <is>
          <t>TechBio early-stage VC</t>
        </is>
      </c>
      <c r="C32" s="7" t="inlineStr">
        <is>
          <t>San Francisco, CA</t>
        </is>
      </c>
      <c r="D32" s="8" t="inlineStr">
        <is>
          <t>TechBio II, $200M</t>
        </is>
      </c>
      <c r="E32" s="8" t="inlineStr">
        <is>
          <t>Seed to Series B; leads</t>
        </is>
      </c>
      <c r="F32" s="7" t="inlineStr">
        <is>
          <t>Unknown</t>
        </is>
      </c>
      <c r="G32" s="7" t="inlineStr">
        <is>
          <t>Yes</t>
        </is>
      </c>
      <c r="H32" s="7" t="inlineStr">
        <is>
          <t>No</t>
        </is>
      </c>
      <c r="I32" s="8" t="inlineStr">
        <is>
          <t>TechBio-native (coined the term); Freenome, Stemcentrx, Cartography Biosciences.</t>
        </is>
      </c>
      <c r="J32" s="8" t="inlineStr">
        <is>
          <t>Thesis: data/software/AI/ML to revolutionize human health; AI-native portfolio.</t>
        </is>
      </c>
      <c r="K32" s="8" t="inlineStr">
        <is>
          <t>None competing directly with Foresight/iViz identified.</t>
        </is>
      </c>
      <c r="L32" s="9" t="n">
        <v>0</v>
      </c>
      <c r="M32" s="8" t="inlineStr">
        <is>
          <t>Unknown</t>
        </is>
      </c>
      <c r="N32" s="7" t="inlineStr">
        <is>
          <t>Austin Walne (or Stuart Peterson)</t>
        </is>
      </c>
      <c r="O32" s="7" t="inlineStr">
        <is>
          <t>Partner (co-leads TechBio) / Managing GP</t>
        </is>
      </c>
      <c r="P32" s="8" t="inlineStr">
        <is>
          <t>Cold; open inbound. No named node.</t>
        </is>
      </c>
      <c r="Q32" s="9" t="n">
        <v>5</v>
      </c>
      <c r="R32" s="9" t="n">
        <v>5</v>
      </c>
      <c r="S32" s="9" t="n">
        <v>5</v>
      </c>
      <c r="T32" s="9" t="n">
        <v>0</v>
      </c>
      <c r="U32" s="9" t="n">
        <v>1</v>
      </c>
      <c r="V32" s="9" t="n">
        <v>5</v>
      </c>
      <c r="W32" s="10">
        <f>MAX(0,ROUND(Q32/5*Weights!$B$3+R32/5*Weights!$B$4+S32/5*Weights!$B$5+T32/5*Weights!$B$6+U32/5*Weights!$B$7+V32/5*Weights!$B$8-L32*Weights!$B$9,0))</f>
        <v>82</v>
      </c>
      <c r="X32" s="10" t="str">
        <f>IF(W32&gt;=Weights!$B$12,"A",IF(W32&gt;=Weights!$B$13,"B","C"))</f>
        <v>A</v>
      </c>
      <c r="Y32" s="11" t="inlineStr">
        <is>
          <t>Not contacted</t>
        </is>
      </c>
      <c r="Z32" s="7" t="inlineStr">
        <is>
          <t>Nate</t>
        </is>
      </c>
      <c r="AA32" s="8" t="inlineStr">
        <is>
          <t>Prime TechBio lead; from this list source. Verify email and a fresh 2025-26 deal.</t>
        </is>
      </c>
      <c r="AB32" s="7" t="inlineStr">
        <is>
          <t>2026-10-05</t>
        </is>
      </c>
      <c r="AC32" s="8" t="inlineStr">
        <is>
          <t>https://www.av.co/news/techbio-ii-ushering-in-the-next-era-of-techbio-innovation; https://drypowdercapital.beehiiv.com/p/artis-ventures-closes-200m-fund</t>
        </is>
      </c>
      <c r="AD32" s="8" t="inlineStr">
        <is>
          <t>Sourced via Jennacap.ai. Door A (TechBio). contact@av.co verified; aw@av.co / sp@av.co inferred (~92% fl-initials pattern).</t>
        </is>
      </c>
    </row>
    <row r="33">
      <c r="A33" s="7" t="inlineStr">
        <is>
          <t>2048 Ventures</t>
        </is>
      </c>
      <c r="B33" s="7" t="inlineStr">
        <is>
          <t>Pre-seed/seed fund (Vertical AI, Health, Bio)</t>
        </is>
      </c>
      <c r="C33" s="7" t="inlineStr">
        <is>
          <t>New York, NY / Canada</t>
        </is>
      </c>
      <c r="D33" s="8" t="inlineStr">
        <is>
          <t>Fund III, $82M, closed Jan 2026</t>
        </is>
      </c>
      <c r="E33" s="8" t="inlineStr">
        <is>
          <t>Leads pre-seed and seed</t>
        </is>
      </c>
      <c r="F33" s="7" t="inlineStr">
        <is>
          <t>$500K to $3M</t>
        </is>
      </c>
      <c r="G33" s="7" t="inlineStr">
        <is>
          <t>Yes</t>
        </is>
      </c>
      <c r="H33" s="7" t="inlineStr">
        <is>
          <t>No</t>
        </is>
      </c>
      <c r="I33" s="8" t="inlineStr">
        <is>
          <t>Explicit Health + Bio mandate; 80+ portfolio.</t>
        </is>
      </c>
      <c r="J33" s="8" t="inlineStr">
        <is>
          <t>Vertical AI core thesis; AI-native portfolio.</t>
        </is>
      </c>
      <c r="K33" s="8" t="inlineStr">
        <is>
          <t>None competing directly with Foresight/iViz identified.</t>
        </is>
      </c>
      <c r="L33" s="9" t="n">
        <v>0</v>
      </c>
      <c r="M33" s="8" t="inlineStr">
        <is>
          <t>Unknown</t>
        </is>
      </c>
      <c r="N33" s="7" t="inlineStr">
        <is>
          <t>Alex Iskold (or Paul Sethi)</t>
        </is>
      </c>
      <c r="O33" s="7" t="inlineStr">
        <is>
          <t>Founder &amp; GP / Co-Founder &amp; MP</t>
        </is>
      </c>
      <c r="P33" s="8" t="inlineStr">
        <is>
          <t>Cold; open inbound. No named node.</t>
        </is>
      </c>
      <c r="Q33" s="9" t="n">
        <v>4</v>
      </c>
      <c r="R33" s="9" t="n">
        <v>5</v>
      </c>
      <c r="S33" s="9" t="n">
        <v>5</v>
      </c>
      <c r="T33" s="9" t="n">
        <v>3</v>
      </c>
      <c r="U33" s="9" t="n">
        <v>1</v>
      </c>
      <c r="V33" s="9" t="n">
        <v>5</v>
      </c>
      <c r="W33" s="10">
        <f>MAX(0,ROUND(Q33/5*Weights!$B$3+R33/5*Weights!$B$4+S33/5*Weights!$B$5+T33/5*Weights!$B$6+U33/5*Weights!$B$7+V33/5*Weights!$B$8-L33*Weights!$B$9,0))</f>
        <v>82</v>
      </c>
      <c r="X33" s="10" t="str">
        <f>IF(W33&gt;=Weights!$B$12,"A",IF(W33&gt;=Weights!$B$13,"B","C"))</f>
        <v>A</v>
      </c>
      <c r="Y33" s="11" t="inlineStr">
        <is>
          <t>Not contacted</t>
        </is>
      </c>
      <c r="Z33" s="7" t="inlineStr">
        <is>
          <t>Nate</t>
        </is>
      </c>
      <c r="AA33" s="8" t="inlineStr">
        <is>
          <t>Strong seed-lead fit; fresh fund. Sourced via Jennacap.ai.</t>
        </is>
      </c>
      <c r="AB33" s="7" t="inlineStr">
        <is>
          <t>2026-10-05</t>
        </is>
      </c>
      <c r="AC33" s="8" t="inlineStr">
        <is>
          <t>https://www.2048.vc/blog/2048-ventures-raises-67m-fund-ii-to-lead-pre-seed-rounds-across-us-and-canada; https://2048.vc/team</t>
        </is>
      </c>
      <c r="AD33" s="8" t="inlineStr">
        <is>
          <t>Sourced via Jennacap.ai. Door A+B. alex@2048.vc Verified (pattern first@2048.vc). $500K-$3M fits as co-lead on a $6M seed.</t>
        </is>
      </c>
    </row>
    <row r="34">
      <c r="A34" s="7" t="inlineStr">
        <is>
          <t>Modi Ventures</t>
        </is>
      </c>
      <c r="B34" s="7" t="inlineStr">
        <is>
          <t>TechBio seed/early fund (AI x biology)</t>
        </is>
      </c>
      <c r="C34" s="7" t="inlineStr">
        <is>
          <t>Houston, TX</t>
        </is>
      </c>
      <c r="D34" s="8" t="inlineStr">
        <is>
          <t>Fund II, $88M, closed summer 2025 (~$134M AUM)</t>
        </is>
      </c>
      <c r="E34" s="8" t="inlineStr">
        <is>
          <t>Early-stage; leads/co-leads</t>
        </is>
      </c>
      <c r="F34" s="7" t="inlineStr">
        <is>
          <t>Unknown</t>
        </is>
      </c>
      <c r="G34" s="7" t="inlineStr">
        <is>
          <t>Yes/co</t>
        </is>
      </c>
      <c r="H34" s="7" t="inlineStr">
        <is>
          <t>No</t>
        </is>
      </c>
      <c r="I34" s="8" t="inlineStr">
        <is>
          <t>AI x biology 'biostack'; Generate:Biomedicines, Atomic AI, Lila Sciences, Latus Bio, Flagship ties.</t>
        </is>
      </c>
      <c r="J34" s="8" t="inlineStr">
        <is>
          <t>AI x biology convergence thesis; AI-native portfolio.</t>
        </is>
      </c>
      <c r="K34" s="8" t="inlineStr">
        <is>
          <t>AI drug-discovery platforms (Generate, Atomic AI, Lila) are adjacent, not competing.</t>
        </is>
      </c>
      <c r="L34" s="9" t="n">
        <v>0</v>
      </c>
      <c r="M34" s="8" t="inlineStr">
        <is>
          <t>Unknown</t>
        </is>
      </c>
      <c r="N34" s="7" t="inlineStr">
        <is>
          <t>Sahir Ali, PhD</t>
        </is>
      </c>
      <c r="O34" s="7" t="inlineStr">
        <is>
          <t>Founder &amp; General Partner</t>
        </is>
      </c>
      <c r="P34" s="8" t="inlineStr">
        <is>
          <t>Cold; open inbound. No named node.</t>
        </is>
      </c>
      <c r="Q34" s="9" t="n">
        <v>5</v>
      </c>
      <c r="R34" s="9" t="n">
        <v>5</v>
      </c>
      <c r="S34" s="9" t="n">
        <v>4</v>
      </c>
      <c r="T34" s="9" t="n">
        <v>0</v>
      </c>
      <c r="U34" s="9" t="n">
        <v>1</v>
      </c>
      <c r="V34" s="9" t="n">
        <v>5</v>
      </c>
      <c r="W34" s="10">
        <f>MAX(0,ROUND(Q34/5*Weights!$B$3+R34/5*Weights!$B$4+S34/5*Weights!$B$5+T34/5*Weights!$B$6+U34/5*Weights!$B$7+V34/5*Weights!$B$8-L34*Weights!$B$9,0))</f>
        <v>78</v>
      </c>
      <c r="X34" s="10" t="str">
        <f>IF(W34&gt;=Weights!$B$12,"A",IF(W34&gt;=Weights!$B$13,"B","C"))</f>
        <v>A</v>
      </c>
      <c r="Y34" s="11" t="inlineStr">
        <is>
          <t>Not contacted</t>
        </is>
      </c>
      <c r="Z34" s="7" t="inlineStr">
        <is>
          <t>Nate</t>
        </is>
      </c>
      <c r="AA34" s="8" t="inlineStr">
        <is>
          <t>Prime AI x biology lead/co-lead; fresh fund. Sourced via Jennacap.ai.</t>
        </is>
      </c>
      <c r="AB34" s="7" t="inlineStr">
        <is>
          <t>2026-10-05</t>
        </is>
      </c>
      <c r="AC34" s="8" t="inlineStr">
        <is>
          <t>https://vcwire.tech/2025/07/18/modi-ventures-closes-second-fund-at-88m/; https://www.modivc.com/about-us</t>
        </is>
      </c>
      <c r="AD34" s="8" t="inlineStr">
        <is>
          <t>Sourced via Jennacap.ai. Door A. info@modivc.com verified; sahir@modivc.com inferred. AI-drug-discovery holdings adjacent (flag, not conflict).</t>
        </is>
      </c>
    </row>
    <row r="35">
      <c r="A35" s="7" t="inlineStr">
        <is>
          <t>Coho Deeptech</t>
        </is>
      </c>
      <c r="B35" s="7" t="inlineStr">
        <is>
          <t>Pre-seed/seed deep-science &amp; tech fund</t>
        </is>
      </c>
      <c r="C35" s="7" t="inlineStr">
        <is>
          <t>San Francisco, CA</t>
        </is>
      </c>
      <c r="D35" s="8" t="inlineStr">
        <is>
          <t>Undisclosed (small independent fund)</t>
        </is>
      </c>
      <c r="E35" s="8" t="inlineStr">
        <is>
          <t>Pre-seed and seed; leads selective early</t>
        </is>
      </c>
      <c r="F35" s="7" t="inlineStr">
        <is>
          <t>Unknown</t>
        </is>
      </c>
      <c r="G35" s="7" t="inlineStr">
        <is>
          <t>Selective (early)</t>
        </is>
      </c>
      <c r="H35" s="7" t="inlineStr">
        <is>
          <t>No</t>
        </is>
      </c>
      <c r="I35" s="8" t="inlineStr">
        <is>
          <t>AI + bio/health thesis; Assort Health (healthcare AI, Mar 2025), Starling Medical (Dec 2024).</t>
        </is>
      </c>
      <c r="J35" s="8" t="inlineStr">
        <is>
          <t>AI-native portfolio: Cartesia, Bland AI, Runware, AudioShake.</t>
        </is>
      </c>
      <c r="K35" s="8" t="inlineStr">
        <is>
          <t>None competing directly with Foresight/iViz identified.</t>
        </is>
      </c>
      <c r="L35" s="9" t="n">
        <v>0</v>
      </c>
      <c r="M35" s="8" t="inlineStr">
        <is>
          <t>Unknown</t>
        </is>
      </c>
      <c r="N35" s="7" t="inlineStr">
        <is>
          <t>Elvis Zhang (or Jennifer Zhai)</t>
        </is>
      </c>
      <c r="O35" s="7" t="inlineStr">
        <is>
          <t>Founder / Partner</t>
        </is>
      </c>
      <c r="P35" s="8" t="inlineStr">
        <is>
          <t>Cold; open inbound. No named node.</t>
        </is>
      </c>
      <c r="Q35" s="9" t="n">
        <v>3</v>
      </c>
      <c r="R35" s="9" t="n">
        <v>5</v>
      </c>
      <c r="S35" s="9" t="n">
        <v>4</v>
      </c>
      <c r="T35" s="9" t="n">
        <v>0</v>
      </c>
      <c r="U35" s="9" t="n">
        <v>1</v>
      </c>
      <c r="V35" s="9" t="n">
        <v>5</v>
      </c>
      <c r="W35" s="10">
        <f>MAX(0,ROUND(Q35/5*Weights!$B$3+R35/5*Weights!$B$4+S35/5*Weights!$B$5+T35/5*Weights!$B$6+U35/5*Weights!$B$7+V35/5*Weights!$B$8-L35*Weights!$B$9,0))</f>
        <v>66</v>
      </c>
      <c r="X35" s="10" t="str">
        <f>IF(W35&gt;=Weights!$B$12,"A",IF(W35&gt;=Weights!$B$13,"B","C"))</f>
        <v>B</v>
      </c>
      <c r="Y35" s="11" t="inlineStr">
        <is>
          <t>Not contacted</t>
        </is>
      </c>
      <c r="Z35" s="7" t="inlineStr">
        <is>
          <t>Nate</t>
        </is>
      </c>
      <c r="AA35" s="8" t="inlineStr">
        <is>
          <t>High-conviction early check; too small to lead a full $6M alone. Sourced via Jennacap.ai.</t>
        </is>
      </c>
      <c r="AB35" s="7" t="inlineStr">
        <is>
          <t>2026-10-05</t>
        </is>
      </c>
      <c r="AC35" s="8" t="inlineStr">
        <is>
          <t>https://www.cohovc.com/; https://tracxn.com/d/venture-capital/coho/__M93dJlKqyG7YR1R9JEguYPwAoyrwT9UDeapYtK2mALc</t>
        </is>
      </c>
      <c r="AD35" s="8" t="inlineStr">
        <is>
          <t>Sourced via Jennacap.ai. Door A+B. partners@cohovc.com verified; first@cohovc.com inferred. Fund size undisclosed.</t>
        </is>
      </c>
    </row>
    <row r="36">
      <c r="A36" s="7" t="inlineStr">
        <is>
          <t>First Star Ventures</t>
        </is>
      </c>
      <c r="B36" s="7" t="inlineStr">
        <is>
          <t>Pre-seed/seed deep-tech fund (computing x real-world)</t>
        </is>
      </c>
      <c r="C36" s="7" t="inlineStr">
        <is>
          <t>Cambridge, MA</t>
        </is>
      </c>
      <c r="D36" s="8" t="inlineStr">
        <is>
          <t>Fund III closed Jun 2025 (prior ~$40M)</t>
        </is>
      </c>
      <c r="E36" s="8" t="inlineStr">
        <is>
          <t>Pre-seed and seed; leads</t>
        </is>
      </c>
      <c r="F36" s="7" t="inlineStr">
        <is>
          <t>$100K to $1M</t>
        </is>
      </c>
      <c r="G36" s="7" t="inlineStr">
        <is>
          <t>Yes (small)</t>
        </is>
      </c>
      <c r="H36" s="7" t="inlineStr">
        <is>
          <t>No</t>
        </is>
      </c>
      <c r="I36" s="8" t="inlineStr">
        <is>
          <t>'Computational biotechnology' in thesis; techbio + frontier-computing portfolio.</t>
        </is>
      </c>
      <c r="J36" s="8" t="inlineStr">
        <is>
          <t>Frontier computing + AI; anti-SaaS-playbook, infra-leaning.</t>
        </is>
      </c>
      <c r="K36" s="8" t="inlineStr">
        <is>
          <t>None competing directly with Foresight/iViz identified.</t>
        </is>
      </c>
      <c r="L36" s="9" t="n">
        <v>0</v>
      </c>
      <c r="M36" s="8" t="inlineStr">
        <is>
          <t>Unknown</t>
        </is>
      </c>
      <c r="N36" s="7" t="inlineStr">
        <is>
          <t>Millie Liu (or Drew Volpe)</t>
        </is>
      </c>
      <c r="O36" s="7" t="inlineStr">
        <is>
          <t>Founder &amp; Managing Partner</t>
        </is>
      </c>
      <c r="P36" s="8" t="inlineStr">
        <is>
          <t>Cold; open inbound. No named node.</t>
        </is>
      </c>
      <c r="Q36" s="9" t="n">
        <v>3</v>
      </c>
      <c r="R36" s="9" t="n">
        <v>5</v>
      </c>
      <c r="S36" s="9" t="n">
        <v>4</v>
      </c>
      <c r="T36" s="9" t="n">
        <v>1</v>
      </c>
      <c r="U36" s="9" t="n">
        <v>1</v>
      </c>
      <c r="V36" s="9" t="n">
        <v>5</v>
      </c>
      <c r="W36" s="10">
        <f>MAX(0,ROUND(Q36/5*Weights!$B$3+R36/5*Weights!$B$4+S36/5*Weights!$B$5+T36/5*Weights!$B$6+U36/5*Weights!$B$7+V36/5*Weights!$B$8-L36*Weights!$B$9,0))</f>
        <v>68</v>
      </c>
      <c r="X36" s="10" t="str">
        <f>IF(W36&gt;=Weights!$B$12,"A",IF(W36&gt;=Weights!$B$13,"B","C"))</f>
        <v>B</v>
      </c>
      <c r="Y36" s="11" t="inlineStr">
        <is>
          <t>Not contacted</t>
        </is>
      </c>
      <c r="Z36" s="7" t="inlineStr">
        <is>
          <t>Nate</t>
        </is>
      </c>
      <c r="AA36" s="8" t="inlineStr">
        <is>
          <t>Early anchor/co-lead; check too small to lead a $6M alone. Sourced via Jennacap.ai.</t>
        </is>
      </c>
      <c r="AB36" s="7" t="inlineStr">
        <is>
          <t>2026-10-05</t>
        </is>
      </c>
      <c r="AC36" s="8" t="inlineStr">
        <is>
          <t>https://www.vcsheet.com/fund/first-star-ventures; https://startupintros.com/orgs/first-star-ventures</t>
        </is>
      </c>
      <c r="AD36" s="8" t="inlineStr">
        <is>
          <t>Sourced via Jennacap.ai. Door A+B. millie@firststar.vc likely (pattern first@firststar.vc). $100K-$1M checks.</t>
        </is>
      </c>
    </row>
    <row r="37">
      <c r="A37" s="7" t="inlineStr">
        <is>
          <t>Asset Management Ventures (AMV)</t>
        </is>
      </c>
      <c r="B37" s="7" t="inlineStr">
        <is>
          <t>Early-stage VC (digital health, tech, life sciences)</t>
        </is>
      </c>
      <c r="C37" s="7" t="inlineStr">
        <is>
          <t>Palo Alto, CA</t>
        </is>
      </c>
      <c r="D37" s="8" t="inlineStr">
        <is>
          <t>Fund V, $150M (2020)</t>
        </is>
      </c>
      <c r="E37" s="8" t="inlineStr">
        <is>
          <t>Seed and Series A; leads</t>
        </is>
      </c>
      <c r="F37" s="7" t="inlineStr">
        <is>
          <t>Unknown</t>
        </is>
      </c>
      <c r="G37" s="7" t="inlineStr">
        <is>
          <t>Yes</t>
        </is>
      </c>
      <c r="H37" s="7" t="inlineStr">
        <is>
          <t>No</t>
        </is>
      </c>
      <c r="I37" s="8" t="inlineStr">
        <is>
          <t>Digital health + life sciences; Autonomize (AI, Jun 2025), Outcomes4Me.</t>
        </is>
      </c>
      <c r="J37" s="8" t="inlineStr">
        <is>
          <t>Some AI (Autonomize); not an AI-first fund.</t>
        </is>
      </c>
      <c r="K37" s="8" t="inlineStr">
        <is>
          <t>None competing directly with Foresight/iViz identified.</t>
        </is>
      </c>
      <c r="L37" s="9" t="n">
        <v>0</v>
      </c>
      <c r="M37" s="8" t="inlineStr">
        <is>
          <t>Unknown</t>
        </is>
      </c>
      <c r="N37" s="7" t="inlineStr">
        <is>
          <t>Skip Fleshman (or Lou Lange)</t>
        </is>
      </c>
      <c r="O37" s="7" t="inlineStr">
        <is>
          <t>Partner</t>
        </is>
      </c>
      <c r="P37" s="8" t="inlineStr">
        <is>
          <t>Cold; open inbound. No named node.</t>
        </is>
      </c>
      <c r="Q37" s="9" t="n">
        <v>4</v>
      </c>
      <c r="R37" s="9" t="n">
        <v>3</v>
      </c>
      <c r="S37" s="9" t="n">
        <v>4</v>
      </c>
      <c r="T37" s="9" t="n">
        <v>0</v>
      </c>
      <c r="U37" s="9" t="n">
        <v>1</v>
      </c>
      <c r="V37" s="9" t="n">
        <v>3</v>
      </c>
      <c r="W37" s="10">
        <f>MAX(0,ROUND(Q37/5*Weights!$B$3+R37/5*Weights!$B$4+S37/5*Weights!$B$5+T37/5*Weights!$B$6+U37/5*Weights!$B$7+V37/5*Weights!$B$8-L37*Weights!$B$9,0))</f>
        <v>60</v>
      </c>
      <c r="X37" s="10" t="str">
        <f>IF(W37&gt;=Weights!$B$12,"A",IF(W37&gt;=Weights!$B$13,"B","C"))</f>
        <v>B</v>
      </c>
      <c r="Y37" s="11" t="inlineStr">
        <is>
          <t>Not contacted</t>
        </is>
      </c>
      <c r="Z37" s="7" t="inlineStr">
        <is>
          <t>Nate</t>
        </is>
      </c>
      <c r="AA37" s="8" t="inlineStr">
        <is>
          <t>Plausible seed lead/co-lead; low deal cadence, selective. Sourced via Jennacap.ai.</t>
        </is>
      </c>
      <c r="AB37" s="7" t="inlineStr">
        <is>
          <t>2026-10-05</t>
        </is>
      </c>
      <c r="AC37" s="8" t="inlineStr">
        <is>
          <t>https://assetman.com/; https://theorg.com/org/asset-management-ventures-amv</t>
        </is>
      </c>
      <c r="AD37" s="8" t="inlineStr">
        <is>
          <t>Sourced via Jennacap.ai. Door A+B. Email pattern unconfirmed (first@assetman.com inferred). Fund V 2020 is aging.</t>
        </is>
      </c>
    </row>
    <row r="38">
      <c r="A38" s="7" t="inlineStr">
        <is>
          <t>1984 Ventures</t>
        </is>
      </c>
      <c r="B38" s="7" t="inlineStr">
        <is>
          <t>Seed vertical-software fund</t>
        </is>
      </c>
      <c r="C38" s="7" t="inlineStr">
        <is>
          <t>San Francisco, CA</t>
        </is>
      </c>
      <c r="D38" s="8" t="inlineStr">
        <is>
          <t>Undisclosed (active seed fund)</t>
        </is>
      </c>
      <c r="E38" s="8" t="inlineStr">
        <is>
          <t>Leads first (seed) rounds</t>
        </is>
      </c>
      <c r="F38" s="7" t="inlineStr">
        <is>
          <t>Up to ~$1M lead</t>
        </is>
      </c>
      <c r="G38" s="7" t="inlineStr">
        <is>
          <t>Yes (small check)</t>
        </is>
      </c>
      <c r="H38" s="7" t="inlineStr">
        <is>
          <t>No</t>
        </is>
      </c>
      <c r="I38" s="8" t="inlineStr">
        <is>
          <t>Digital-health lane: software that expands capacity inside clinical systems (on-message).</t>
        </is>
      </c>
      <c r="J38" s="8" t="inlineStr">
        <is>
          <t>Vertical AI + developer tools &amp; infrastructure core thesis.</t>
        </is>
      </c>
      <c r="K38" s="8" t="inlineStr">
        <is>
          <t>None competing directly with Foresight/iViz identified.</t>
        </is>
      </c>
      <c r="L38" s="9" t="n">
        <v>0</v>
      </c>
      <c r="M38" s="8" t="inlineStr">
        <is>
          <t>Unknown</t>
        </is>
      </c>
      <c r="N38" s="7" t="inlineStr">
        <is>
          <t>Unknown (verify partner)</t>
        </is>
      </c>
      <c r="O38" s="7" t="inlineStr">
        <is>
          <t>Unknown</t>
        </is>
      </c>
      <c r="P38" s="8" t="inlineStr">
        <is>
          <t>Cold; open inbound. No named node.</t>
        </is>
      </c>
      <c r="Q38" s="9" t="n">
        <v>3</v>
      </c>
      <c r="R38" s="9" t="n">
        <v>5</v>
      </c>
      <c r="S38" s="9" t="n">
        <v>5</v>
      </c>
      <c r="T38" s="9" t="n">
        <v>1</v>
      </c>
      <c r="U38" s="9" t="n">
        <v>1</v>
      </c>
      <c r="V38" s="9" t="n">
        <v>3</v>
      </c>
      <c r="W38" s="10">
        <f>MAX(0,ROUND(Q38/5*Weights!$B$3+R38/5*Weights!$B$4+S38/5*Weights!$B$5+T38/5*Weights!$B$6+U38/5*Weights!$B$7+V38/5*Weights!$B$8-L38*Weights!$B$9,0))</f>
        <v>68</v>
      </c>
      <c r="X38" s="10" t="str">
        <f>IF(W38&gt;=Weights!$B$12,"A",IF(W38&gt;=Weights!$B$13,"B","C"))</f>
        <v>B</v>
      </c>
      <c r="Y38" s="11" t="inlineStr">
        <is>
          <t>Not contacted</t>
        </is>
      </c>
      <c r="Z38" s="7" t="inlineStr">
        <is>
          <t>Nate</t>
        </is>
      </c>
      <c r="AA38" s="8" t="inlineStr">
        <is>
          <t>On-message (vertical AI + dev-infra + clinical workflow); small lead check. Sourced via Jennacap.ai.</t>
        </is>
      </c>
      <c r="AB38" s="7" t="inlineStr">
        <is>
          <t>2026-10-05</t>
        </is>
      </c>
      <c r="AC38" s="8" t="inlineStr">
        <is>
          <t>https://1984.vc/; https://www.vcsheet.com/fund/1984-ventures</t>
        </is>
      </c>
      <c r="AD38" s="8" t="inlineStr">
        <is>
          <t>Sourced via Jennacap.ai. Door B+C. Partner name + recent deal unverified this pass. Email pattern Unknown.</t>
        </is>
      </c>
    </row>
    <row r="39">
      <c r="A39" s="7" t="inlineStr">
        <is>
          <t>Starbloom Capital</t>
        </is>
      </c>
      <c r="B39" s="7" t="inlineStr">
        <is>
          <t>Early-stage deep-tech fund (longevity bio, neuroAI)</t>
        </is>
      </c>
      <c r="C39" s="7" t="inlineStr">
        <is>
          <t>New York, NY / SF</t>
        </is>
      </c>
      <c r="D39" s="8" t="inlineStr">
        <is>
          <t>Undisclosed</t>
        </is>
      </c>
      <c r="E39" s="8" t="inlineStr">
        <is>
          <t>Seed and Series A; leads</t>
        </is>
      </c>
      <c r="F39" s="7" t="inlineStr">
        <is>
          <t>$250K to $5M</t>
        </is>
      </c>
      <c r="G39" s="7" t="inlineStr">
        <is>
          <t>Yes</t>
        </is>
      </c>
      <c r="H39" s="7" t="inlineStr">
        <is>
          <t>No</t>
        </is>
      </c>
      <c r="I39" s="8" t="inlineStr">
        <is>
          <t>Longevity biotech + neuro; Adaptyx Biosciences $14M seed (Oct 2025), Inventex (Apr 2025).</t>
        </is>
      </c>
      <c r="J39" s="8" t="inlineStr">
        <is>
          <t>NeuroAI + AI thesis.</t>
        </is>
      </c>
      <c r="K39" s="8" t="inlineStr">
        <is>
          <t>None competing directly with Foresight/iViz identified.</t>
        </is>
      </c>
      <c r="L39" s="9" t="n">
        <v>0</v>
      </c>
      <c r="M39" s="8" t="inlineStr">
        <is>
          <t>Unknown</t>
        </is>
      </c>
      <c r="N39" s="7" t="inlineStr">
        <is>
          <t>James Fickel</t>
        </is>
      </c>
      <c r="O39" s="7" t="inlineStr">
        <is>
          <t>Founder &amp; Managing Director</t>
        </is>
      </c>
      <c r="P39" s="8" t="inlineStr">
        <is>
          <t>Cold; open inbound. No named node.</t>
        </is>
      </c>
      <c r="Q39" s="9" t="n">
        <v>3</v>
      </c>
      <c r="R39" s="9" t="n">
        <v>4</v>
      </c>
      <c r="S39" s="9" t="n">
        <v>4</v>
      </c>
      <c r="T39" s="9" t="n">
        <v>3</v>
      </c>
      <c r="U39" s="9" t="n">
        <v>1</v>
      </c>
      <c r="V39" s="9" t="n">
        <v>4</v>
      </c>
      <c r="W39" s="10">
        <f>MAX(0,ROUND(Q39/5*Weights!$B$3+R39/5*Weights!$B$4+S39/5*Weights!$B$5+T39/5*Weights!$B$6+U39/5*Weights!$B$7+V39/5*Weights!$B$8-L39*Weights!$B$9,0))</f>
        <v>66</v>
      </c>
      <c r="X39" s="10" t="str">
        <f>IF(W39&gt;=Weights!$B$12,"A",IF(W39&gt;=Weights!$B$13,"B","C"))</f>
        <v>B</v>
      </c>
      <c r="Y39" s="11" t="inlineStr">
        <is>
          <t>Not contacted</t>
        </is>
      </c>
      <c r="Z39" s="7" t="inlineStr">
        <is>
          <t>Nate</t>
        </is>
      </c>
      <c r="AA39" s="8" t="inlineStr">
        <is>
          <t>Thesis-adjacent (longevity/neuroAI); possible seed participant/co-lead. Sourced via Jennacap.ai.</t>
        </is>
      </c>
      <c r="AB39" s="7" t="inlineStr">
        <is>
          <t>2026-10-05</t>
        </is>
      </c>
      <c r="AC39" s="8" t="inlineStr">
        <is>
          <t>https://www.starbloom.capital/; https://superscout.co/investor/starbloom-capital</t>
        </is>
      </c>
      <c r="AD39" s="8" t="inlineStr">
        <is>
          <t>Sourced via Jennacap.ai. Door A/B. james@starbloom.capital inferred (ZoomInfo j***). Fund size undisclosed.</t>
        </is>
      </c>
    </row>
    <row r="40">
      <c r="A40" s="7" t="inlineStr">
        <is>
          <t>Qiming Venture Partners USA</t>
        </is>
      </c>
      <c r="B40" s="7" t="inlineStr">
        <is>
          <t>Healthcare VC (US arm)</t>
        </is>
      </c>
      <c r="C40" s="7" t="inlineStr">
        <is>
          <t>Cambridge, MA / Palo Alto</t>
        </is>
      </c>
      <c r="D40" s="8" t="inlineStr">
        <is>
          <t>US Healthcare Fund III, $260M (2022)</t>
        </is>
      </c>
      <c r="E40" s="8" t="inlineStr">
        <is>
          <t>Seed to Series B; selective at seed</t>
        </is>
      </c>
      <c r="F40" s="7" t="inlineStr">
        <is>
          <t>Unknown</t>
        </is>
      </c>
      <c r="G40" s="7" t="inlineStr">
        <is>
          <t>Selective</t>
        </is>
      </c>
      <c r="H40" s="7" t="inlineStr">
        <is>
          <t>No</t>
        </is>
      </c>
      <c r="I40" s="8" t="inlineStr">
        <is>
          <t>Healthcare fund, therapeutics-weighted; 'healthcare technology' mandate in Fund III.</t>
        </is>
      </c>
      <c r="J40" s="8" t="inlineStr">
        <is>
          <t>Limited AI-software evidence.</t>
        </is>
      </c>
      <c r="K40" s="8" t="inlineStr">
        <is>
          <t>None competing directly with Foresight/iViz identified.</t>
        </is>
      </c>
      <c r="L40" s="9" t="n">
        <v>0</v>
      </c>
      <c r="M40" s="8" t="inlineStr">
        <is>
          <t>Unknown</t>
        </is>
      </c>
      <c r="N40" s="7" t="inlineStr">
        <is>
          <t>Isaac Ciechanover, MD</t>
        </is>
      </c>
      <c r="O40" s="7" t="inlineStr">
        <is>
          <t>US Partner</t>
        </is>
      </c>
      <c r="P40" s="8" t="inlineStr">
        <is>
          <t>Cold; open inbound. No named node.</t>
        </is>
      </c>
      <c r="Q40" s="9" t="n">
        <v>4</v>
      </c>
      <c r="R40" s="9" t="n">
        <v>2</v>
      </c>
      <c r="S40" s="9" t="n">
        <v>3</v>
      </c>
      <c r="T40" s="9" t="n">
        <v>0</v>
      </c>
      <c r="U40" s="9" t="n">
        <v>1</v>
      </c>
      <c r="V40" s="9" t="n">
        <v>3</v>
      </c>
      <c r="W40" s="10">
        <f>MAX(0,ROUND(Q40/5*Weights!$B$3+R40/5*Weights!$B$4+S40/5*Weights!$B$5+T40/5*Weights!$B$6+U40/5*Weights!$B$7+V40/5*Weights!$B$8-L40*Weights!$B$9,0))</f>
        <v>52</v>
      </c>
      <c r="X40" s="10" t="str">
        <f>IF(W40&gt;=Weights!$B$12,"A",IF(W40&gt;=Weights!$B$13,"B","C"))</f>
        <v>B</v>
      </c>
      <c r="Y40" s="11" t="inlineStr">
        <is>
          <t>Not contacted</t>
        </is>
      </c>
      <c r="Z40" s="7" t="inlineStr">
        <is>
          <t>Nate</t>
        </is>
      </c>
      <c r="AA40" s="8" t="inlineStr">
        <is>
          <t>Therapeutics-leaning; needs the healthtech-tools angle. Team flux. Sourced via Jennacap.ai.</t>
        </is>
      </c>
      <c r="AB40" s="7" t="inlineStr">
        <is>
          <t>2026-10-05</t>
        </is>
      </c>
      <c r="AC40" s="8" t="inlineStr">
        <is>
          <t>https://www.businesswire.com/news/home/20220602005291/en/; https://www.qimingvc.com/en/team/nisa-leung</t>
        </is>
      </c>
      <c r="AD40" s="8" t="inlineStr">
        <is>
          <t>Sourced via Jennacap.ai. Door A (partial). Email pattern Unknown. Nisa Leung (China head) departed Feb 2025.</t>
        </is>
      </c>
    </row>
    <row r="41">
      <c r="A41" s="7" t="inlineStr">
        <is>
          <t>Amasia</t>
        </is>
      </c>
      <c r="B41" s="7" t="inlineStr">
        <is>
          <t>Early-stage software VC (climate/sustainability tilt)</t>
        </is>
      </c>
      <c r="C41" s="7" t="inlineStr">
        <is>
          <t>San Francisco / Singapore</t>
        </is>
      </c>
      <c r="D41" s="8" t="inlineStr">
        <is>
          <t>Fund III (size unconfirmed)</t>
        </is>
      </c>
      <c r="E41" s="8" t="inlineStr">
        <is>
          <t>Seed to Series B; leads/co-leads</t>
        </is>
      </c>
      <c r="F41" s="7" t="inlineStr">
        <is>
          <t>$1M to $5M</t>
        </is>
      </c>
      <c r="G41" s="7" t="inlineStr">
        <is>
          <t>Yes</t>
        </is>
      </c>
      <c r="H41" s="7" t="inlineStr">
        <is>
          <t>No</t>
        </is>
      </c>
      <c r="I41" s="8" t="inlineStr">
        <is>
          <t>Software-only; no drug-dev/life-science core.</t>
        </is>
      </c>
      <c r="J41" s="8" t="inlineStr">
        <is>
          <t>Software VC; some AI (EvolutionIQ). Thesis skews climate/sustainability/behavior-change.</t>
        </is>
      </c>
      <c r="K41" s="8" t="inlineStr">
        <is>
          <t>None competing directly with Foresight/iViz identified.</t>
        </is>
      </c>
      <c r="L41" s="9" t="n">
        <v>0</v>
      </c>
      <c r="M41" s="8" t="inlineStr">
        <is>
          <t>Unknown</t>
        </is>
      </c>
      <c r="N41" s="7" t="inlineStr">
        <is>
          <t>Ramanan Raghavendran</t>
        </is>
      </c>
      <c r="O41" s="7" t="inlineStr">
        <is>
          <t>Managing Partner</t>
        </is>
      </c>
      <c r="P41" s="8" t="inlineStr">
        <is>
          <t>Cold; open inbound. No named node.</t>
        </is>
      </c>
      <c r="Q41" s="9" t="n">
        <v>1</v>
      </c>
      <c r="R41" s="9" t="n">
        <v>3</v>
      </c>
      <c r="S41" s="9" t="n">
        <v>4</v>
      </c>
      <c r="T41" s="9" t="n">
        <v>3</v>
      </c>
      <c r="U41" s="9" t="n">
        <v>1</v>
      </c>
      <c r="V41" s="9" t="n">
        <v>4</v>
      </c>
      <c r="W41" s="10">
        <f>MAX(0,ROUND(Q41/5*Weights!$B$3+R41/5*Weights!$B$4+S41/5*Weights!$B$5+T41/5*Weights!$B$6+U41/5*Weights!$B$7+V41/5*Weights!$B$8-L41*Weights!$B$9,0))</f>
        <v>50</v>
      </c>
      <c r="X41" s="10" t="str">
        <f>IF(W41&gt;=Weights!$B$12,"A",IF(W41&gt;=Weights!$B$13,"B","C"))</f>
        <v>B</v>
      </c>
      <c r="Y41" s="11" t="inlineStr">
        <is>
          <t>Not contacted</t>
        </is>
      </c>
      <c r="Z41" s="7" t="inlineStr">
        <is>
          <t>Nate</t>
        </is>
      </c>
      <c r="AA41" s="8" t="inlineStr">
        <is>
          <t>Mechanical software-seed fit but thematic miss (sustainability). Sourced via Jennacap.ai.</t>
        </is>
      </c>
      <c r="AB41" s="7" t="inlineStr">
        <is>
          <t>2026-10-05</t>
        </is>
      </c>
      <c r="AC41" s="8" t="inlineStr">
        <is>
          <t>https://www.amasia.vc/team; https://www.vcsheet.com/fund/amasia</t>
        </is>
      </c>
      <c r="AD41" s="8" t="inlineStr">
        <is>
          <t>Sourced via Jennacap.ai. Door B (weak). first@amasia.vc inferred. Fund III size unconfirmed.</t>
        </is>
      </c>
    </row>
    <row r="42">
      <c r="A42" s="7" t="inlineStr">
        <is>
          <t>Zone 2 Ventures</t>
        </is>
      </c>
      <c r="B42" s="7" t="inlineStr">
        <is>
          <t>Pre-seed/seed generalist (AI, healthcare, fintech)</t>
        </is>
      </c>
      <c r="C42" s="7" t="inlineStr">
        <is>
          <t>London (US/Delaware fund)</t>
        </is>
      </c>
      <c r="D42" s="8" t="inlineStr">
        <is>
          <t>Fund I opened Dec 2024 (~7 cos)</t>
        </is>
      </c>
      <c r="E42" s="8" t="inlineStr">
        <is>
          <t>Pre-seed/seed; likely co-invests</t>
        </is>
      </c>
      <c r="F42" s="7" t="inlineStr">
        <is>
          <t>Unknown</t>
        </is>
      </c>
      <c r="G42" s="7" t="inlineStr">
        <is>
          <t>Participant</t>
        </is>
      </c>
      <c r="H42" s="7" t="inlineStr">
        <is>
          <t>No</t>
        </is>
      </c>
      <c r="I42" s="8" t="inlineStr">
        <is>
          <t>AI + healthcare in mandate; portfolio too early to cite a drug-dev holding.</t>
        </is>
      </c>
      <c r="J42" s="8" t="inlineStr">
        <is>
          <t>AI in mandate; new fund.</t>
        </is>
      </c>
      <c r="K42" s="8" t="inlineStr">
        <is>
          <t>None competing directly with Foresight/iViz identified.</t>
        </is>
      </c>
      <c r="L42" s="9" t="n">
        <v>0</v>
      </c>
      <c r="M42" s="8" t="inlineStr">
        <is>
          <t>Unknown</t>
        </is>
      </c>
      <c r="N42" s="7" t="inlineStr">
        <is>
          <t>Ricardo Schaefer</t>
        </is>
      </c>
      <c r="O42" s="7" t="inlineStr">
        <is>
          <t>Founder</t>
        </is>
      </c>
      <c r="P42" s="8" t="inlineStr">
        <is>
          <t>Cold; open inbound. No named node.</t>
        </is>
      </c>
      <c r="Q42" s="9" t="n">
        <v>2</v>
      </c>
      <c r="R42" s="9" t="n">
        <v>4</v>
      </c>
      <c r="S42" s="9" t="n">
        <v>3</v>
      </c>
      <c r="T42" s="9" t="n">
        <v>0</v>
      </c>
      <c r="U42" s="9" t="n">
        <v>1</v>
      </c>
      <c r="V42" s="9" t="n">
        <v>3</v>
      </c>
      <c r="W42" s="10">
        <f>MAX(0,ROUND(Q42/5*Weights!$B$3+R42/5*Weights!$B$4+S42/5*Weights!$B$5+T42/5*Weights!$B$6+U42/5*Weights!$B$7+V42/5*Weights!$B$8-L42*Weights!$B$9,0))</f>
        <v>48</v>
      </c>
      <c r="X42" s="10" t="str">
        <f>IF(W42&gt;=Weights!$B$12,"A",IF(W42&gt;=Weights!$B$13,"B","C"))</f>
        <v>C</v>
      </c>
      <c r="Y42" s="11" t="inlineStr">
        <is>
          <t>Not contacted</t>
        </is>
      </c>
      <c r="Z42" s="7" t="inlineStr">
        <is>
          <t>Nate</t>
        </is>
      </c>
      <c r="AA42" s="8" t="inlineStr">
        <is>
          <t>Small/new fund; seed participant not lead. Sourced via Jennacap.ai.</t>
        </is>
      </c>
      <c r="AB42" s="7" t="inlineStr">
        <is>
          <t>2026-10-05</t>
        </is>
      </c>
      <c r="AC42" s="8" t="inlineStr">
        <is>
          <t>https://pitchbook.com/profiles/fund/29431-09F; https://app.dealroom.co/companies/zone_ii_ventures</t>
        </is>
      </c>
      <c r="AD42" s="8" t="inlineStr">
        <is>
          <t>Sourced via Jennacap.ai. Door B (loose). Email Unknown. Fund I opened Dec 2024.</t>
        </is>
      </c>
    </row>
    <row r="43">
      <c r="A43" s="7" t="inlineStr">
        <is>
          <t>Lilly Ventures</t>
        </is>
      </c>
      <c r="B43" s="7" t="inlineStr">
        <is>
          <t>Pharma corporate venture arm</t>
        </is>
      </c>
      <c r="C43" s="7" t="inlineStr">
        <is>
          <t>Indianapolis, IN</t>
        </is>
      </c>
      <c r="D43" s="8" t="inlineStr">
        <is>
          <t>~$200M CVC</t>
        </is>
      </c>
      <c r="E43" s="8" t="inlineStr">
        <is>
          <t>Early-to-expansion; leads</t>
        </is>
      </c>
      <c r="F43" s="7" t="inlineStr">
        <is>
          <t>Unknown</t>
        </is>
      </c>
      <c r="G43" s="7" t="inlineStr">
        <is>
          <t>Selective (CVC)</t>
        </is>
      </c>
      <c r="H43" s="7" t="inlineStr">
        <is>
          <t>No</t>
        </is>
      </c>
      <c r="I43" s="8" t="inlineStr">
        <is>
          <t>Therapeutically agnostic CVC; biotech, healthcare IT, medtech.</t>
        </is>
      </c>
      <c r="J43" s="8" t="inlineStr">
        <is>
          <t>Insilico Medicine (AI drug discovery, Jun 2025), basys.ai; Lilly's $500M a16z AI-biotech fund (Jan 2025).</t>
        </is>
      </c>
      <c r="K43" s="8" t="inlineStr">
        <is>
          <t>None competing directly; note Lilly builds internal drug-dev tooling (strategic sensitivity).</t>
        </is>
      </c>
      <c r="L43" s="9" t="n">
        <v>0</v>
      </c>
      <c r="M43" s="8" t="inlineStr">
        <is>
          <t>Unknown</t>
        </is>
      </c>
      <c r="N43" s="7" t="inlineStr">
        <is>
          <t>Unknown (verify partner)</t>
        </is>
      </c>
      <c r="O43" s="7" t="inlineStr">
        <is>
          <t>Unknown</t>
        </is>
      </c>
      <c r="P43" s="8" t="inlineStr">
        <is>
          <t>Cold; strategic. No named node.</t>
        </is>
      </c>
      <c r="Q43" s="9" t="n">
        <v>5</v>
      </c>
      <c r="R43" s="9" t="n">
        <v>4</v>
      </c>
      <c r="S43" s="9" t="n">
        <v>2</v>
      </c>
      <c r="T43" s="9" t="n">
        <v>0</v>
      </c>
      <c r="U43" s="9" t="n">
        <v>1</v>
      </c>
      <c r="V43" s="9" t="n">
        <v>4</v>
      </c>
      <c r="W43" s="10">
        <f>MAX(0,ROUND(Q43/5*Weights!$B$3+R43/5*Weights!$B$4+S43/5*Weights!$B$5+T43/5*Weights!$B$6+U43/5*Weights!$B$7+V43/5*Weights!$B$8-L43*Weights!$B$9,0))</f>
        <v>64</v>
      </c>
      <c r="X43" s="10" t="str">
        <f>IF(W43&gt;=Weights!$B$12,"A",IF(W43&gt;=Weights!$B$13,"B","C"))</f>
        <v>B</v>
      </c>
      <c r="Y43" s="11" t="inlineStr">
        <is>
          <t>Not contacted</t>
        </is>
      </c>
      <c r="Z43" s="7" t="inlineStr">
        <is>
          <t>Nate</t>
        </is>
      </c>
      <c r="AA43" s="8" t="inlineStr">
        <is>
          <t>Strategic CVC + potential customer; not a classic $6M seed lead. Sourced via Jennacap.ai.</t>
        </is>
      </c>
      <c r="AB43" s="7" t="inlineStr">
        <is>
          <t>2026-10-05</t>
        </is>
      </c>
      <c r="AC43" s="8" t="inlineStr">
        <is>
          <t>https://www.cbinsights.com/investor/lilly-ventures; https://www.crunchbase.com/organization/lilly-ventures</t>
        </is>
      </c>
      <c r="AD43" s="8" t="inlineStr">
        <is>
          <t>Sourced via Jennacap.ai. 'Lilly Research Laboratories' is Lilly R&amp;D, NOT an investor; the venture arm is Lilly Ventures. Door A/C strategic. CVC terms can constrain future strategic buyers.</t>
        </is>
      </c>
    </row>
    <row r="44">
      <c r="A44" s="7" t="inlineStr">
        <is>
          <t>Mubadala Capital</t>
        </is>
      </c>
      <c r="B44" s="7" t="inlineStr">
        <is>
          <t>Sovereign-backed VC/asset manager</t>
        </is>
      </c>
      <c r="C44" s="7" t="inlineStr">
        <is>
          <t>Abu Dhabi / SF / London</t>
        </is>
      </c>
      <c r="D44" s="8" t="inlineStr">
        <is>
          <t>~$400M ventures fund</t>
        </is>
      </c>
      <c r="E44" s="8" t="inlineStr">
        <is>
          <t>Primarily Series B+; selective seed</t>
        </is>
      </c>
      <c r="F44" s="7" t="inlineStr">
        <is>
          <t>$10M to $50M</t>
        </is>
      </c>
      <c r="G44" s="7" t="inlineStr">
        <is>
          <t>No/Selective</t>
        </is>
      </c>
      <c r="H44" s="7" t="inlineStr">
        <is>
          <t>No</t>
        </is>
      </c>
      <c r="I44" s="8" t="inlineStr">
        <is>
          <t>Digital health among sectors; not core.</t>
        </is>
      </c>
      <c r="J44" s="8" t="inlineStr">
        <is>
          <t>Enterprise software / AI / fintech.</t>
        </is>
      </c>
      <c r="K44" s="8" t="inlineStr">
        <is>
          <t>None competing directly with Foresight/iViz identified.</t>
        </is>
      </c>
      <c r="L44" s="9" t="n">
        <v>0</v>
      </c>
      <c r="M44" s="8" t="inlineStr">
        <is>
          <t>Unknown</t>
        </is>
      </c>
      <c r="N44" s="7" t="inlineStr">
        <is>
          <t>Unknown (verify partner)</t>
        </is>
      </c>
      <c r="O44" s="7" t="inlineStr">
        <is>
          <t>Unknown</t>
        </is>
      </c>
      <c r="P44" s="8" t="inlineStr">
        <is>
          <t>Cold; no named node.</t>
        </is>
      </c>
      <c r="Q44" s="9" t="n">
        <v>2</v>
      </c>
      <c r="R44" s="9" t="n">
        <v>3</v>
      </c>
      <c r="S44" s="9" t="n">
        <v>1</v>
      </c>
      <c r="T44" s="9" t="n">
        <v>1</v>
      </c>
      <c r="U44" s="9" t="n">
        <v>1</v>
      </c>
      <c r="V44" s="9" t="n">
        <v>4</v>
      </c>
      <c r="W44" s="10">
        <f>MAX(0,ROUND(Q44/5*Weights!$B$3+R44/5*Weights!$B$4+S44/5*Weights!$B$5+T44/5*Weights!$B$6+U44/5*Weights!$B$7+V44/5*Weights!$B$8-L44*Weights!$B$9,0))</f>
        <v>40</v>
      </c>
      <c r="X44" s="10" t="str">
        <f>IF(W44&gt;=Weights!$B$12,"A",IF(W44&gt;=Weights!$B$13,"B","C"))</f>
        <v>C</v>
      </c>
      <c r="Y44" s="11" t="inlineStr">
        <is>
          <t>Not contacted</t>
        </is>
      </c>
      <c r="Z44" s="7" t="inlineStr">
        <is>
          <t>Nate</t>
        </is>
      </c>
      <c r="AA44" s="8" t="inlineStr">
        <is>
          <t>Stage/check far too large for a $6M seed; revisit at Series A/B. Sourced via Jennacap.ai.</t>
        </is>
      </c>
      <c r="AB44" s="7" t="inlineStr">
        <is>
          <t>2026-10-05</t>
        </is>
      </c>
      <c r="AC44" s="8" t="inlineStr">
        <is>
          <t>https://www.mubadalacapital.ae/ventures; https://www.vcsheet.com/fund/mubadala</t>
        </is>
      </c>
      <c r="AD44" s="8" t="inlineStr">
        <is>
          <t>Sourced via Jennacap.ai. Door C in theory but $10-50M checks. Sovereign-LP sensitivities for some US customers.</t>
        </is>
      </c>
    </row>
    <row r="45">
      <c r="A45" s="7" t="inlineStr">
        <is>
          <t>Neovate Capital Partners</t>
        </is>
      </c>
      <c r="B45" s="7" t="inlineStr">
        <is>
          <t>Medtech &amp; biopharma VC</t>
        </is>
      </c>
      <c r="C45" s="7" t="inlineStr">
        <is>
          <t>Pittsburgh / Denver / New Haven</t>
        </is>
      </c>
      <c r="D45" s="8" t="inlineStr">
        <is>
          <t>Undisclosed</t>
        </is>
      </c>
      <c r="E45" s="8" t="inlineStr">
        <is>
          <t>Early-stage medical devices &amp; therapeutics</t>
        </is>
      </c>
      <c r="F45" s="7" t="inlineStr">
        <is>
          <t>Unknown</t>
        </is>
      </c>
      <c r="G45" s="7" t="inlineStr">
        <is>
          <t>No (devices/therapeutics)</t>
        </is>
      </c>
      <c r="H45" s="7" t="inlineStr">
        <is>
          <t>No</t>
        </is>
      </c>
      <c r="I45" s="8" t="inlineStr">
        <is>
          <t>Neuromodulation, tissue regeneration, robotic/AI-enabled interventional devices. No software holdings.</t>
        </is>
      </c>
      <c r="J45" s="8" t="inlineStr">
        <is>
          <t>AI-enabled devices only; not a software/data investor.</t>
        </is>
      </c>
      <c r="K45" s="8" t="inlineStr">
        <is>
          <t>None identified.</t>
        </is>
      </c>
      <c r="L45" s="9" t="n">
        <v>0</v>
      </c>
      <c r="M45" s="8" t="inlineStr">
        <is>
          <t>Unknown</t>
        </is>
      </c>
      <c r="N45" s="7" t="inlineStr">
        <is>
          <t>Nicholas Pachuda (or Mike Green)</t>
        </is>
      </c>
      <c r="O45" s="7" t="inlineStr">
        <is>
          <t>General Partner</t>
        </is>
      </c>
      <c r="P45" s="8" t="inlineStr">
        <is>
          <t>Cold; no named node.</t>
        </is>
      </c>
      <c r="Q45" s="9" t="n">
        <v>2</v>
      </c>
      <c r="R45" s="9" t="n">
        <v>1</v>
      </c>
      <c r="S45" s="9" t="n">
        <v>2</v>
      </c>
      <c r="T45" s="9" t="n">
        <v>0</v>
      </c>
      <c r="U45" s="9" t="n">
        <v>1</v>
      </c>
      <c r="V45" s="9" t="n">
        <v>3</v>
      </c>
      <c r="W45" s="10">
        <f>MAX(0,ROUND(Q45/5*Weights!$B$3+R45/5*Weights!$B$4+S45/5*Weights!$B$5+T45/5*Weights!$B$6+U45/5*Weights!$B$7+V45/5*Weights!$B$8-L45*Weights!$B$9,0))</f>
        <v>32</v>
      </c>
      <c r="X45" s="10" t="str">
        <f>IF(W45&gt;=Weights!$B$12,"A",IF(W45&gt;=Weights!$B$13,"B","C"))</f>
        <v>C</v>
      </c>
      <c r="Y45" s="11" t="inlineStr">
        <is>
          <t>Not contacted</t>
        </is>
      </c>
      <c r="Z45" s="7" t="inlineStr">
        <is>
          <t>Nate</t>
        </is>
      </c>
      <c r="AA45" s="8" t="inlineStr">
        <is>
          <t>Off-thesis: devices/therapeutics, not software. Sourced via Jennacap.ai (screened out).</t>
        </is>
      </c>
      <c r="AB45" s="7" t="inlineStr">
        <is>
          <t>2026-10-05</t>
        </is>
      </c>
      <c r="AC45" s="8" t="inlineStr">
        <is>
          <t>https://app.dealroom.co/companies/neovate_capital_partners; https://mnvc.org/speakers/neovate-capital-dr-nicholas-pachuda-general-partner/</t>
        </is>
      </c>
      <c r="AD45" s="8" t="inlineStr">
        <is>
          <t>Sourced via Jennacap.ai. POOR FIT. Email Unknown.</t>
        </is>
      </c>
    </row>
    <row r="46">
      <c r="A46" s="7" t="inlineStr">
        <is>
          <t>Epidarex Capital</t>
        </is>
      </c>
      <c r="B46" s="7" t="inlineStr">
        <is>
          <t>Therapeutics life-science VC</t>
        </is>
      </c>
      <c r="C46" s="7" t="inlineStr">
        <is>
          <t>Edinburgh / US</t>
        </is>
      </c>
      <c r="D46" s="8" t="inlineStr">
        <is>
          <t>Fund IV first close $145M (Jan 2026)</t>
        </is>
      </c>
      <c r="E46" s="8" t="inlineStr">
        <is>
          <t>Early-stage; leads Series A therapeutics</t>
        </is>
      </c>
      <c r="F46" s="7" t="inlineStr">
        <is>
          <t>Unknown</t>
        </is>
      </c>
      <c r="G46" s="7" t="inlineStr">
        <is>
          <t>No (therapeutics)</t>
        </is>
      </c>
      <c r="H46" s="7" t="inlineStr">
        <is>
          <t>No</t>
        </is>
      </c>
      <c r="I46" s="8" t="inlineStr">
        <is>
          <t>Apellis, Nodthera, Kynos, Lunac (drug developers). No data/software holdings.</t>
        </is>
      </c>
      <c r="J46" s="8" t="inlineStr">
        <is>
          <t>None; therapeutics investor.</t>
        </is>
      </c>
      <c r="K46" s="8" t="inlineStr">
        <is>
          <t>None identified.</t>
        </is>
      </c>
      <c r="L46" s="9" t="n">
        <v>0</v>
      </c>
      <c r="M46" s="8" t="inlineStr">
        <is>
          <t>Unknown</t>
        </is>
      </c>
      <c r="N46" s="7" t="inlineStr">
        <is>
          <t>Unknown</t>
        </is>
      </c>
      <c r="O46" s="7" t="inlineStr">
        <is>
          <t>Unknown</t>
        </is>
      </c>
      <c r="P46" s="8" t="inlineStr">
        <is>
          <t>Cold; no named node.</t>
        </is>
      </c>
      <c r="Q46" s="9" t="n">
        <v>2</v>
      </c>
      <c r="R46" s="9" t="n">
        <v>1</v>
      </c>
      <c r="S46" s="9" t="n">
        <v>2</v>
      </c>
      <c r="T46" s="9" t="n">
        <v>0</v>
      </c>
      <c r="U46" s="9" t="n">
        <v>1</v>
      </c>
      <c r="V46" s="9" t="n">
        <v>5</v>
      </c>
      <c r="W46" s="10">
        <f>MAX(0,ROUND(Q46/5*Weights!$B$3+R46/5*Weights!$B$4+S46/5*Weights!$B$5+T46/5*Weights!$B$6+U46/5*Weights!$B$7+V46/5*Weights!$B$8-L46*Weights!$B$9,0))</f>
        <v>36</v>
      </c>
      <c r="X46" s="10" t="str">
        <f>IF(W46&gt;=Weights!$B$12,"A",IF(W46&gt;=Weights!$B$13,"B","C"))</f>
        <v>C</v>
      </c>
      <c r="Y46" s="11" t="inlineStr">
        <is>
          <t>Not contacted</t>
        </is>
      </c>
      <c r="Z46" s="7" t="inlineStr">
        <is>
          <t>Nate</t>
        </is>
      </c>
      <c r="AA46" s="8" t="inlineStr">
        <is>
          <t>Off-thesis therapeutics VC. Sourced via Jennacap.ai (screened out).</t>
        </is>
      </c>
      <c r="AB46" s="7" t="inlineStr">
        <is>
          <t>2026-10-05</t>
        </is>
      </c>
      <c r="AC46" s="8" t="inlineStr">
        <is>
          <t>https://www.globenewswire.com/news-release/2026/01/27/3226083/0/en/epidarex-capital-announces-first-close-of-fund-iv-securing-145-million.html</t>
        </is>
      </c>
      <c r="AD46" s="8" t="inlineStr">
        <is>
          <t>Sourced via Jennacap.ai. POOR FIT. Fresh Fund IV but drug developers only.</t>
        </is>
      </c>
    </row>
    <row r="47">
      <c r="A47" s="7" t="inlineStr">
        <is>
          <t>Duke Capital Partners</t>
        </is>
      </c>
      <c r="B47" s="7" t="inlineStr">
        <is>
          <t>University venture arm</t>
        </is>
      </c>
      <c r="C47" s="7" t="inlineStr">
        <is>
          <t>Durham, NC</t>
        </is>
      </c>
      <c r="D47" s="8" t="inlineStr">
        <is>
          <t>Duke Innovation Fund (angel platform)</t>
        </is>
      </c>
      <c r="E47" s="8" t="inlineStr">
        <is>
          <t>Early-stage; Duke-affiliated startups only</t>
        </is>
      </c>
      <c r="F47" s="7" t="inlineStr">
        <is>
          <t>$500K to $2M</t>
        </is>
      </c>
      <c r="G47" s="7" t="inlineStr">
        <is>
          <t>Gated</t>
        </is>
      </c>
      <c r="H47" s="7" t="inlineStr">
        <is>
          <t>No</t>
        </is>
      </c>
      <c r="I47" s="8" t="inlineStr">
        <is>
          <t>60+ Duke-network companies; no stated AI/life-science infra thesis.</t>
        </is>
      </c>
      <c r="J47" s="8" t="inlineStr">
        <is>
          <t>None stated.</t>
        </is>
      </c>
      <c r="K47" s="8" t="inlineStr">
        <is>
          <t>None identified.</t>
        </is>
      </c>
      <c r="L47" s="9" t="n">
        <v>0</v>
      </c>
      <c r="M47" s="8" t="inlineStr">
        <is>
          <t>Unknown</t>
        </is>
      </c>
      <c r="N47" s="7" t="inlineStr">
        <is>
          <t>Unknown</t>
        </is>
      </c>
      <c r="O47" s="7" t="inlineStr">
        <is>
          <t>Unknown</t>
        </is>
      </c>
      <c r="P47" s="8" t="inlineStr">
        <is>
          <t>Cold; no named node.</t>
        </is>
      </c>
      <c r="Q47" s="9" t="n">
        <v>2</v>
      </c>
      <c r="R47" s="9" t="n">
        <v>1</v>
      </c>
      <c r="S47" s="9" t="n">
        <v>2</v>
      </c>
      <c r="T47" s="9" t="n">
        <v>1</v>
      </c>
      <c r="U47" s="9" t="n">
        <v>1</v>
      </c>
      <c r="V47" s="9" t="n">
        <v>3</v>
      </c>
      <c r="W47" s="10">
        <f>MAX(0,ROUND(Q47/5*Weights!$B$3+R47/5*Weights!$B$4+S47/5*Weights!$B$5+T47/5*Weights!$B$6+U47/5*Weights!$B$7+V47/5*Weights!$B$8-L47*Weights!$B$9,0))</f>
        <v>34</v>
      </c>
      <c r="X47" s="10" t="str">
        <f>IF(W47&gt;=Weights!$B$12,"A",IF(W47&gt;=Weights!$B$13,"B","C"))</f>
        <v>C</v>
      </c>
      <c r="Y47" s="11" t="inlineStr">
        <is>
          <t>Not contacted</t>
        </is>
      </c>
      <c r="Z47" s="7" t="inlineStr">
        <is>
          <t>Nate</t>
        </is>
      </c>
      <c r="AA47" s="8" t="inlineStr">
        <is>
          <t>Gated to Duke affiliation; only if Coharts has a Duke tie. Sourced via Jennacap.ai.</t>
        </is>
      </c>
      <c r="AB47" s="7" t="inlineStr">
        <is>
          <t>2026-10-05</t>
        </is>
      </c>
      <c r="AC47" s="8" t="inlineStr">
        <is>
          <t>https://dukecapitalpartners.duke.edu/about/; https://massinvestordatabase.com/publicfirm.php?name=Duke+Capital+Partners</t>
        </is>
      </c>
      <c r="AD47" s="8" t="inlineStr">
        <is>
          <t>Sourced via Jennacap.ai. POOR FIT unless Duke-affiliated. $500K-$2M checks.</t>
        </is>
      </c>
    </row>
    <row r="48">
      <c r="A48" s="7" t="inlineStr">
        <is>
          <t>Lifespan Vision Ventures</t>
        </is>
      </c>
      <c r="B48" s="7" t="inlineStr">
        <is>
          <t>Longevity-biotech therapeutics VC</t>
        </is>
      </c>
      <c r="C48" s="7" t="inlineStr">
        <is>
          <t>Norwalk, CT / SF / London</t>
        </is>
      </c>
      <c r="D48" s="8" t="inlineStr">
        <is>
          <t>Undisclosed</t>
        </is>
      </c>
      <c r="E48" s="8" t="inlineStr">
        <is>
          <t>Pre-seed to Series A; co-leads</t>
        </is>
      </c>
      <c r="F48" s="7" t="inlineStr">
        <is>
          <t>Unknown</t>
        </is>
      </c>
      <c r="G48" s="7" t="inlineStr">
        <is>
          <t>No (therapeutics)</t>
        </is>
      </c>
      <c r="H48" s="7" t="inlineStr">
        <is>
          <t>No</t>
        </is>
      </c>
      <c r="I48" s="8" t="inlineStr">
        <is>
          <t>Telomere/senolytics/mRNA/regenerative therapeutics; co-led Sift Bio $3.7M pre-seed.</t>
        </is>
      </c>
      <c r="J48" s="8" t="inlineStr">
        <is>
          <t>None; longevity therapeutics.</t>
        </is>
      </c>
      <c r="K48" s="8" t="inlineStr">
        <is>
          <t>None identified.</t>
        </is>
      </c>
      <c r="L48" s="9" t="n">
        <v>0</v>
      </c>
      <c r="M48" s="8" t="inlineStr">
        <is>
          <t>Unknown</t>
        </is>
      </c>
      <c r="N48" s="7" t="inlineStr">
        <is>
          <t>Andrew Worden</t>
        </is>
      </c>
      <c r="O48" s="7" t="inlineStr">
        <is>
          <t>Founder</t>
        </is>
      </c>
      <c r="P48" s="8" t="inlineStr">
        <is>
          <t>Cold; no named node.</t>
        </is>
      </c>
      <c r="Q48" s="9" t="n">
        <v>2</v>
      </c>
      <c r="R48" s="9" t="n">
        <v>1</v>
      </c>
      <c r="S48" s="9" t="n">
        <v>3</v>
      </c>
      <c r="T48" s="9" t="n">
        <v>0</v>
      </c>
      <c r="U48" s="9" t="n">
        <v>1</v>
      </c>
      <c r="V48" s="9" t="n">
        <v>3</v>
      </c>
      <c r="W48" s="10">
        <f>MAX(0,ROUND(Q48/5*Weights!$B$3+R48/5*Weights!$B$4+S48/5*Weights!$B$5+T48/5*Weights!$B$6+U48/5*Weights!$B$7+V48/5*Weights!$B$8-L48*Weights!$B$9,0))</f>
        <v>36</v>
      </c>
      <c r="X48" s="10" t="str">
        <f>IF(W48&gt;=Weights!$B$12,"A",IF(W48&gt;=Weights!$B$13,"B","C"))</f>
        <v>C</v>
      </c>
      <c r="Y48" s="11" t="inlineStr">
        <is>
          <t>Not contacted</t>
        </is>
      </c>
      <c r="Z48" s="7" t="inlineStr">
        <is>
          <t>Nate</t>
        </is>
      </c>
      <c r="AA48" s="8" t="inlineStr">
        <is>
          <t>Off-thesis longevity therapeutics. Sourced via Jennacap.ai (screened out).</t>
        </is>
      </c>
      <c r="AB48" s="7" t="inlineStr">
        <is>
          <t>2026-10-05</t>
        </is>
      </c>
      <c r="AC48" s="8" t="inlineStr">
        <is>
          <t>https://finance.yahoo.com/news/lifespan-vision-ventures-co-leads-170000649.html</t>
        </is>
      </c>
      <c r="AD48" s="8" t="inlineStr">
        <is>
          <t>Sourced via Jennacap.ai. POOR FIT.</t>
        </is>
      </c>
    </row>
    <row r="49">
      <c r="A49" s="7" t="inlineStr">
        <is>
          <t>Criteria Bio Ventures</t>
        </is>
      </c>
      <c r="B49" s="7" t="inlineStr">
        <is>
          <t>Therapeutics life-science VC</t>
        </is>
      </c>
      <c r="C49" s="7" t="inlineStr">
        <is>
          <t>Barcelona, Spain</t>
        </is>
      </c>
      <c r="D49" s="8" t="inlineStr">
        <is>
          <t>Part of CriteriaCaixa</t>
        </is>
      </c>
      <c r="E49" s="8" t="inlineStr">
        <is>
          <t>Leads biotech rounds (EU/NA)</t>
        </is>
      </c>
      <c r="F49" s="7" t="inlineStr">
        <is>
          <t>Unknown</t>
        </is>
      </c>
      <c r="G49" s="7" t="inlineStr">
        <is>
          <t>No (therapeutics)</t>
        </is>
      </c>
      <c r="H49" s="7" t="inlineStr">
        <is>
          <t>No</t>
        </is>
      </c>
      <c r="I49" s="8" t="inlineStr">
        <is>
          <t>Led Adaptam Therapeutics EUR3M; drug developers only.</t>
        </is>
      </c>
      <c r="J49" s="8" t="inlineStr">
        <is>
          <t>None; therapeutics.</t>
        </is>
      </c>
      <c r="K49" s="8" t="inlineStr">
        <is>
          <t>None identified.</t>
        </is>
      </c>
      <c r="L49" s="9" t="n">
        <v>0</v>
      </c>
      <c r="M49" s="8" t="inlineStr">
        <is>
          <t>Unknown</t>
        </is>
      </c>
      <c r="N49" s="7" t="inlineStr">
        <is>
          <t>Unknown</t>
        </is>
      </c>
      <c r="O49" s="7" t="inlineStr">
        <is>
          <t>Unknown</t>
        </is>
      </c>
      <c r="P49" s="8" t="inlineStr">
        <is>
          <t>Cold; no named node.</t>
        </is>
      </c>
      <c r="Q49" s="9" t="n">
        <v>2</v>
      </c>
      <c r="R49" s="9" t="n">
        <v>1</v>
      </c>
      <c r="S49" s="9" t="n">
        <v>2</v>
      </c>
      <c r="T49" s="9" t="n">
        <v>0</v>
      </c>
      <c r="U49" s="9" t="n">
        <v>1</v>
      </c>
      <c r="V49" s="9" t="n">
        <v>3</v>
      </c>
      <c r="W49" s="10">
        <f>MAX(0,ROUND(Q49/5*Weights!$B$3+R49/5*Weights!$B$4+S49/5*Weights!$B$5+T49/5*Weights!$B$6+U49/5*Weights!$B$7+V49/5*Weights!$B$8-L49*Weights!$B$9,0))</f>
        <v>32</v>
      </c>
      <c r="X49" s="10" t="str">
        <f>IF(W49&gt;=Weights!$B$12,"A",IF(W49&gt;=Weights!$B$13,"B","C"))</f>
        <v>C</v>
      </c>
      <c r="Y49" s="11" t="inlineStr">
        <is>
          <t>Not contacted</t>
        </is>
      </c>
      <c r="Z49" s="7" t="inlineStr">
        <is>
          <t>Nate</t>
        </is>
      </c>
      <c r="AA49" s="8" t="inlineStr">
        <is>
          <t>Off-thesis therapeutics VC, EU-centric. Sourced via Jennacap.ai (screened out).</t>
        </is>
      </c>
      <c r="AB49" s="7" t="inlineStr">
        <is>
          <t>2026-10-05</t>
        </is>
      </c>
      <c r="AC49" s="8" t="inlineStr">
        <is>
          <t>https://www.criteriabioventures.com/; https://capital-riesgo.es/en/articles/criteria-bio-ventures-leads-a-3-million-investment-in-adaptam-therapeutics/</t>
        </is>
      </c>
      <c r="AD49" s="8" t="inlineStr">
        <is>
          <t>Sourced via Jennacap.ai. POOR FIT.</t>
        </is>
      </c>
    </row>
    <row r="50">
      <c r="A50" s="7" t="inlineStr">
        <is>
          <t>NYSERDA</t>
        </is>
      </c>
      <c r="B50" s="7" t="inlineStr">
        <is>
          <t>NY State clean-energy agency (government)</t>
        </is>
      </c>
      <c r="C50" s="7" t="inlineStr">
        <is>
          <t>Albany, NY</t>
        </is>
      </c>
      <c r="D50" s="8" t="inlineStr">
        <is>
          <t>NY Green Bank / Clean Energy Fund</t>
        </is>
      </c>
      <c r="E50" s="8" t="inlineStr">
        <is>
          <t>Grants + co-invest, pre-Series B cleantech</t>
        </is>
      </c>
      <c r="F50" s="7" t="inlineStr">
        <is>
          <t>Unknown</t>
        </is>
      </c>
      <c r="G50" s="7" t="inlineStr">
        <is>
          <t>No (cleantech grants)</t>
        </is>
      </c>
      <c r="H50" s="7" t="inlineStr">
        <is>
          <t>No</t>
        </is>
      </c>
      <c r="I50" s="8" t="inlineStr">
        <is>
          <t>Clean-energy/cleantech only; not healthcare/software.</t>
        </is>
      </c>
      <c r="J50" s="8" t="inlineStr">
        <is>
          <t>None.</t>
        </is>
      </c>
      <c r="K50" s="8" t="inlineStr">
        <is>
          <t>None identified.</t>
        </is>
      </c>
      <c r="L50" s="9" t="n">
        <v>0</v>
      </c>
      <c r="M50" s="8" t="inlineStr">
        <is>
          <t>Unknown</t>
        </is>
      </c>
      <c r="N50" s="7" t="inlineStr">
        <is>
          <t>Unknown (program portals)</t>
        </is>
      </c>
      <c r="O50" s="7" t="inlineStr">
        <is>
          <t>Unknown</t>
        </is>
      </c>
      <c r="P50" s="8" t="inlineStr">
        <is>
          <t>Cold; program application only.</t>
        </is>
      </c>
      <c r="Q50" s="9" t="n">
        <v>0</v>
      </c>
      <c r="R50" s="9" t="n">
        <v>0</v>
      </c>
      <c r="S50" s="9" t="n">
        <v>1</v>
      </c>
      <c r="T50" s="9" t="n">
        <v>0</v>
      </c>
      <c r="U50" s="9" t="n">
        <v>1</v>
      </c>
      <c r="V50" s="9" t="n">
        <v>3</v>
      </c>
      <c r="W50" s="10">
        <f>MAX(0,ROUND(Q50/5*Weights!$B$3+R50/5*Weights!$B$4+S50/5*Weights!$B$5+T50/5*Weights!$B$6+U50/5*Weights!$B$7+V50/5*Weights!$B$8-L50*Weights!$B$9,0))</f>
        <v>12</v>
      </c>
      <c r="X50" s="10" t="str">
        <f>IF(W50&gt;=Weights!$B$12,"A",IF(W50&gt;=Weights!$B$13,"B","C"))</f>
        <v>C</v>
      </c>
      <c r="Y50" s="11" t="inlineStr">
        <is>
          <t>Not contacted</t>
        </is>
      </c>
      <c r="Z50" s="7" t="inlineStr">
        <is>
          <t>Nate</t>
        </is>
      </c>
      <c r="AA50" s="8" t="inlineStr">
        <is>
          <t>Off-thesis (cleantech, government). Exclude. Sourced via Jennacap.ai (screened out).</t>
        </is>
      </c>
      <c r="AB50" s="7" t="inlineStr">
        <is>
          <t>2026-10-05</t>
        </is>
      </c>
      <c r="AC50" s="8" t="inlineStr">
        <is>
          <t>https://www.nyserda.ny.gov/All-Programs/Innovation-at-NYSERDA</t>
        </is>
      </c>
      <c r="AD50" s="8" t="inlineStr">
        <is>
          <t>Sourced via Jennacap.ai. OFF-THESIS. Clean-energy mandate only.</t>
        </is>
      </c>
    </row>
    <row r="51">
      <c r="A51" s="7" t="inlineStr">
        <is>
          <t>Perceptive Xontogeny Ventures</t>
        </is>
      </c>
      <c r="B51" s="7" t="inlineStr">
        <is>
          <t>Therapeutics platform (Perceptive + Xontogeny)</t>
        </is>
      </c>
      <c r="C51" s="7" t="inlineStr">
        <is>
          <t>New York / Boston</t>
        </is>
      </c>
      <c r="D51" s="8" t="inlineStr">
        <is>
          <t>Fund II $515M (May 2021)</t>
        </is>
      </c>
      <c r="E51" s="8" t="inlineStr">
        <is>
          <t>Leads Series A/B; clinical-stage drugs</t>
        </is>
      </c>
      <c r="F51" s="7" t="inlineStr">
        <is>
          <t>$10M to $20M</t>
        </is>
      </c>
      <c r="G51" s="7" t="inlineStr">
        <is>
          <t>No (therapeutics)</t>
        </is>
      </c>
      <c r="H51" s="7" t="inlineStr">
        <is>
          <t>No</t>
        </is>
      </c>
      <c r="I51" s="8" t="inlineStr">
        <is>
          <t>Landos (acq. AbbVie 2024), Lexeo; advancing drug products preclinical to clinical.</t>
        </is>
      </c>
      <c r="J51" s="8" t="inlineStr">
        <is>
          <t>None; therapeutics.</t>
        </is>
      </c>
      <c r="K51" s="8" t="inlineStr">
        <is>
          <t>None identified.</t>
        </is>
      </c>
      <c r="L51" s="9" t="n">
        <v>0</v>
      </c>
      <c r="M51" s="8" t="inlineStr">
        <is>
          <t>Unknown</t>
        </is>
      </c>
      <c r="N51" s="7" t="inlineStr">
        <is>
          <t>Unknown</t>
        </is>
      </c>
      <c r="O51" s="7" t="inlineStr">
        <is>
          <t>Unknown</t>
        </is>
      </c>
      <c r="P51" s="8" t="inlineStr">
        <is>
          <t>Cold; no named node.</t>
        </is>
      </c>
      <c r="Q51" s="9" t="n">
        <v>3</v>
      </c>
      <c r="R51" s="9" t="n">
        <v>1</v>
      </c>
      <c r="S51" s="9" t="n">
        <v>1</v>
      </c>
      <c r="T51" s="9" t="n">
        <v>1</v>
      </c>
      <c r="U51" s="9" t="n">
        <v>1</v>
      </c>
      <c r="V51" s="9" t="n">
        <v>4</v>
      </c>
      <c r="W51" s="10">
        <f>MAX(0,ROUND(Q51/5*Weights!$B$3+R51/5*Weights!$B$4+S51/5*Weights!$B$5+T51/5*Weights!$B$6+U51/5*Weights!$B$7+V51/5*Weights!$B$8-L51*Weights!$B$9,0))</f>
        <v>38</v>
      </c>
      <c r="X51" s="10" t="str">
        <f>IF(W51&gt;=Weights!$B$12,"A",IF(W51&gt;=Weights!$B$13,"B","C"))</f>
        <v>C</v>
      </c>
      <c r="Y51" s="11" t="inlineStr">
        <is>
          <t>Not contacted</t>
        </is>
      </c>
      <c r="Z51" s="7" t="inlineStr">
        <is>
          <t>Nate</t>
        </is>
      </c>
      <c r="AA51" s="8" t="inlineStr">
        <is>
          <t>Off-thesis therapeutics; checks 2-3x the whole seed. Sourced via Jennacap.ai (screened out).</t>
        </is>
      </c>
      <c r="AB51" s="7" t="inlineStr">
        <is>
          <t>2026-10-05</t>
        </is>
      </c>
      <c r="AC51" s="8" t="inlineStr">
        <is>
          <t>https://xontogeny.com/news/perceptive-advisors-closes-515-million-perceptive-xontogeny-venture-fund-ii-lp/</t>
        </is>
      </c>
      <c r="AD51" s="8" t="inlineStr">
        <is>
          <t>Sourced via Jennacap.ai. POOR FIT. $10-20M concentrated therapeutics checks.</t>
        </is>
      </c>
    </row>
    <row r="52">
      <c r="A52" s="7" t="inlineStr">
        <is>
          <t>Abingworth</t>
        </is>
      </c>
      <c r="B52" s="7" t="inlineStr">
        <is>
          <t>Therapeutics life-science investor (Carlyle)</t>
        </is>
      </c>
      <c r="C52" s="7" t="inlineStr">
        <is>
          <t>London / Boston</t>
        </is>
      </c>
      <c r="D52" s="8" t="inlineStr">
        <is>
          <t>Bioventures 8 ~$466M</t>
        </is>
      </c>
      <c r="E52" s="8" t="inlineStr">
        <is>
          <t>Seed to clinical co-development; drugs</t>
        </is>
      </c>
      <c r="F52" s="7" t="inlineStr">
        <is>
          <t>Unknown</t>
        </is>
      </c>
      <c r="G52" s="7" t="inlineStr">
        <is>
          <t>No (therapeutics)</t>
        </is>
      </c>
      <c r="H52" s="7" t="inlineStr">
        <is>
          <t>No</t>
        </is>
      </c>
      <c r="I52" s="8" t="inlineStr">
        <is>
          <t>Biotherapeutics, gene/cell therapy, small molecules; drug developers.</t>
        </is>
      </c>
      <c r="J52" s="8" t="inlineStr">
        <is>
          <t>None; therapeutics.</t>
        </is>
      </c>
      <c r="K52" s="8" t="inlineStr">
        <is>
          <t>None identified.</t>
        </is>
      </c>
      <c r="L52" s="9" t="n">
        <v>0</v>
      </c>
      <c r="M52" s="8" t="inlineStr">
        <is>
          <t>Unknown</t>
        </is>
      </c>
      <c r="N52" s="7" t="inlineStr">
        <is>
          <t>Unknown</t>
        </is>
      </c>
      <c r="O52" s="7" t="inlineStr">
        <is>
          <t>Unknown</t>
        </is>
      </c>
      <c r="P52" s="8" t="inlineStr">
        <is>
          <t>Cold; no named node.</t>
        </is>
      </c>
      <c r="Q52" s="9" t="n">
        <v>3</v>
      </c>
      <c r="R52" s="9" t="n">
        <v>1</v>
      </c>
      <c r="S52" s="9" t="n">
        <v>2</v>
      </c>
      <c r="T52" s="9" t="n">
        <v>0</v>
      </c>
      <c r="U52" s="9" t="n">
        <v>1</v>
      </c>
      <c r="V52" s="9" t="n">
        <v>4</v>
      </c>
      <c r="W52" s="10">
        <f>MAX(0,ROUND(Q52/5*Weights!$B$3+R52/5*Weights!$B$4+S52/5*Weights!$B$5+T52/5*Weights!$B$6+U52/5*Weights!$B$7+V52/5*Weights!$B$8-L52*Weights!$B$9,0))</f>
        <v>40</v>
      </c>
      <c r="X52" s="10" t="str">
        <f>IF(W52&gt;=Weights!$B$12,"A",IF(W52&gt;=Weights!$B$13,"B","C"))</f>
        <v>C</v>
      </c>
      <c r="Y52" s="11" t="inlineStr">
        <is>
          <t>Not contacted</t>
        </is>
      </c>
      <c r="Z52" s="7" t="inlineStr">
        <is>
          <t>Nate</t>
        </is>
      </c>
      <c r="AA52" s="8" t="inlineStr">
        <is>
          <t>Off-thesis therapeutics investor. Sourced via Jennacap.ai (screened out).</t>
        </is>
      </c>
      <c r="AB52" s="7" t="inlineStr">
        <is>
          <t>2026-10-05</t>
        </is>
      </c>
      <c r="AC52" s="8" t="inlineStr">
        <is>
          <t>https://www.abingworth.com/about</t>
        </is>
      </c>
      <c r="AD52" s="8" t="inlineStr">
        <is>
          <t>Sourced via Jennacap.ai. POOR FIT.</t>
        </is>
      </c>
    </row>
    <row r="53">
      <c r="A53" s="7" t="inlineStr">
        <is>
          <t>3M Ventures</t>
        </is>
      </c>
      <c r="B53" s="7" t="inlineStr">
        <is>
          <t>Industrial corporate venture arm</t>
        </is>
      </c>
      <c r="C53" s="7" t="inlineStr">
        <is>
          <t>St. Paul, MN</t>
        </is>
      </c>
      <c r="D53" s="8" t="inlineStr">
        <is>
          <t>Corporate CVC</t>
        </is>
      </c>
      <c r="E53" s="8" t="inlineStr">
        <is>
          <t>Climate tech, industrial automation, materials, semiconductors</t>
        </is>
      </c>
      <c r="F53" s="7" t="inlineStr">
        <is>
          <t>Unknown</t>
        </is>
      </c>
      <c r="G53" s="7" t="inlineStr">
        <is>
          <t>No (strategic)</t>
        </is>
      </c>
      <c r="H53" s="7" t="inlineStr">
        <is>
          <t>No</t>
        </is>
      </c>
      <c r="I53" s="8" t="inlineStr">
        <is>
          <t>No life-science/software-infra thesis.</t>
        </is>
      </c>
      <c r="J53" s="8" t="inlineStr">
        <is>
          <t>Some AI in industrial context; off-thesis for drug-dev.</t>
        </is>
      </c>
      <c r="K53" s="8" t="inlineStr">
        <is>
          <t>None identified.</t>
        </is>
      </c>
      <c r="L53" s="9" t="n">
        <v>0</v>
      </c>
      <c r="M53" s="8" t="inlineStr">
        <is>
          <t>Unknown</t>
        </is>
      </c>
      <c r="N53" s="7" t="inlineStr">
        <is>
          <t>Unknown</t>
        </is>
      </c>
      <c r="O53" s="7" t="inlineStr">
        <is>
          <t>Unknown</t>
        </is>
      </c>
      <c r="P53" s="8" t="inlineStr">
        <is>
          <t>Cold; strategic only.</t>
        </is>
      </c>
      <c r="Q53" s="9" t="n">
        <v>0</v>
      </c>
      <c r="R53" s="9" t="n">
        <v>1</v>
      </c>
      <c r="S53" s="9" t="n">
        <v>2</v>
      </c>
      <c r="T53" s="9" t="n">
        <v>0</v>
      </c>
      <c r="U53" s="9" t="n">
        <v>1</v>
      </c>
      <c r="V53" s="9" t="n">
        <v>4</v>
      </c>
      <c r="W53" s="10">
        <f>MAX(0,ROUND(Q53/5*Weights!$B$3+R53/5*Weights!$B$4+S53/5*Weights!$B$5+T53/5*Weights!$B$6+U53/5*Weights!$B$7+V53/5*Weights!$B$8-L53*Weights!$B$9,0))</f>
        <v>22</v>
      </c>
      <c r="X53" s="10" t="str">
        <f>IF(W53&gt;=Weights!$B$12,"A",IF(W53&gt;=Weights!$B$13,"B","C"))</f>
        <v>C</v>
      </c>
      <c r="Y53" s="11" t="inlineStr">
        <is>
          <t>Not contacted</t>
        </is>
      </c>
      <c r="Z53" s="7" t="inlineStr">
        <is>
          <t>Nate</t>
        </is>
      </c>
      <c r="AA53" s="8" t="inlineStr">
        <is>
          <t>Off-thesis industrial/materials/climate CVC. Sourced via Jennacap.ai (screened out).</t>
        </is>
      </c>
      <c r="AB53" s="7" t="inlineStr">
        <is>
          <t>2026-10-05</t>
        </is>
      </c>
      <c r="AC53" s="8" t="inlineStr">
        <is>
          <t>https://www.3m.com/3M/en_US/about-3m/ventures/</t>
        </is>
      </c>
      <c r="AD53" s="8" t="inlineStr">
        <is>
          <t>Sourced via Jennacap.ai. POOR FIT. JetZero Mar 2026, Ayar Labs Dec 2024 (aerospace/semis).</t>
        </is>
      </c>
    </row>
    <row r="54">
      <c r="A54" s="7" t="inlineStr">
        <is>
          <t>At One Ventures</t>
        </is>
      </c>
      <c r="B54" s="7" t="inlineStr">
        <is>
          <t>Climate/nature deep-tech VC</t>
        </is>
      </c>
      <c r="C54" s="7" t="inlineStr">
        <is>
          <t>San Francisco, CA</t>
        </is>
      </c>
      <c r="D54" s="8" t="inlineStr">
        <is>
          <t>~$525M AUM</t>
        </is>
      </c>
      <c r="E54" s="8" t="inlineStr">
        <is>
          <t>Seed/early; climate/nature hardware</t>
        </is>
      </c>
      <c r="F54" s="7" t="inlineStr">
        <is>
          <t>Unknown</t>
        </is>
      </c>
      <c r="G54" s="7" t="inlineStr">
        <is>
          <t>No (climate hardware)</t>
        </is>
      </c>
      <c r="H54" s="7" t="inlineStr">
        <is>
          <t>No</t>
        </is>
      </c>
      <c r="I54" s="8" t="inlineStr">
        <is>
          <t>Climate/nature-positive hardware; buildings, energy, food/ag.</t>
        </is>
      </c>
      <c r="J54" s="8" t="inlineStr">
        <is>
          <t>Deep tech; off-thesis for drug-dev software.</t>
        </is>
      </c>
      <c r="K54" s="8" t="inlineStr">
        <is>
          <t>None identified.</t>
        </is>
      </c>
      <c r="L54" s="9" t="n">
        <v>0</v>
      </c>
      <c r="M54" s="8" t="inlineStr">
        <is>
          <t>Unknown</t>
        </is>
      </c>
      <c r="N54" s="7" t="inlineStr">
        <is>
          <t>Tom Chi</t>
        </is>
      </c>
      <c r="O54" s="7" t="inlineStr">
        <is>
          <t>Founder &amp; Managing Partner</t>
        </is>
      </c>
      <c r="P54" s="8" t="inlineStr">
        <is>
          <t>Cold; no named node.</t>
        </is>
      </c>
      <c r="Q54" s="9" t="n">
        <v>0</v>
      </c>
      <c r="R54" s="9" t="n">
        <v>1</v>
      </c>
      <c r="S54" s="9" t="n">
        <v>3</v>
      </c>
      <c r="T54" s="9" t="n">
        <v>0</v>
      </c>
      <c r="U54" s="9" t="n">
        <v>1</v>
      </c>
      <c r="V54" s="9" t="n">
        <v>4</v>
      </c>
      <c r="W54" s="10">
        <f>MAX(0,ROUND(Q54/5*Weights!$B$3+R54/5*Weights!$B$4+S54/5*Weights!$B$5+T54/5*Weights!$B$6+U54/5*Weights!$B$7+V54/5*Weights!$B$8-L54*Weights!$B$9,0))</f>
        <v>26</v>
      </c>
      <c r="X54" s="10" t="str">
        <f>IF(W54&gt;=Weights!$B$12,"A",IF(W54&gt;=Weights!$B$13,"B","C"))</f>
        <v>C</v>
      </c>
      <c r="Y54" s="11" t="inlineStr">
        <is>
          <t>Not contacted</t>
        </is>
      </c>
      <c r="Z54" s="7" t="inlineStr">
        <is>
          <t>Nate</t>
        </is>
      </c>
      <c r="AA54" s="8" t="inlineStr">
        <is>
          <t>Off-thesis (climate/nature hardware). Sourced via Jennacap.ai (screened out).</t>
        </is>
      </c>
      <c r="AB54" s="7" t="inlineStr">
        <is>
          <t>2026-10-05</t>
        </is>
      </c>
      <c r="AC54" s="8" t="inlineStr">
        <is>
          <t>https://impactalpha.com/at-one-ventures-closes-375-million-deeptech-climate-fund/</t>
        </is>
      </c>
      <c r="AD54" s="8" t="inlineStr">
        <is>
          <t>Sourced via Jennacap.ai. POOR FIT.</t>
        </is>
      </c>
    </row>
    <row r="55">
      <c r="A55" s="7" t="inlineStr">
        <is>
          <t>Oncology Ventures</t>
        </is>
      </c>
      <c r="B55" s="7" t="inlineStr">
        <is>
          <t>Seed-stage cancer-care data/AI fund (single-GP)</t>
        </is>
      </c>
      <c r="C55" s="7" t="inlineStr">
        <is>
          <t>New York, NY</t>
        </is>
      </c>
      <c r="D55" s="8" t="inlineStr">
        <is>
          <t>Fund I, $30M (~2024); a ~$62M 2026 figure is unconfirmed</t>
        </is>
      </c>
      <c r="E55" s="8" t="inlineStr">
        <is>
          <t>Pre-seed/seed cancer-care data &amp; tech; often co-invests</t>
        </is>
      </c>
      <c r="F55" s="7" t="inlineStr">
        <is>
          <t>Unknown</t>
        </is>
      </c>
      <c r="G55" s="7" t="inlineStr">
        <is>
          <t>Selective (co-invests often)</t>
        </is>
      </c>
      <c r="H55" s="7" t="inlineStr">
        <is>
          <t>Yes (CRM: lead, CONNECTED)</t>
        </is>
      </c>
      <c r="I55" s="8" t="inlineStr">
        <is>
          <t>Oncology-only, NON-drug: cancer-care data, AI, interoperability. Strategic LPs Cardinal Health, City of Hope, Moffitt. Does NOT fund therapeutics/devices.</t>
        </is>
      </c>
      <c r="J55" s="8" t="inlineStr">
        <is>
          <t>Cancer data + AI thesis; Risa/RISA Labs (AI oncology workflow, Apr 2025), Tono, Lumonus, mPATH.</t>
        </is>
      </c>
      <c r="K55" s="8" t="inlineStr">
        <is>
          <t>IgniteData / Archer (EHR-to-EDC clinical-trial data transfer) is a soft adjacency to Foresight's data management, not a hard conflict.</t>
        </is>
      </c>
      <c r="L55" s="9" t="n">
        <v>0</v>
      </c>
      <c r="M55" s="8" t="inlineStr">
        <is>
          <t>Unknown</t>
        </is>
      </c>
      <c r="N55" s="7" t="inlineStr">
        <is>
          <t>Ben Freeberg</t>
        </is>
      </c>
      <c r="O55" s="7" t="inlineStr">
        <is>
          <t>Founder &amp; Managing Partner</t>
        </is>
      </c>
      <c r="P55" s="8" t="inlineStr">
        <is>
          <t>DIRECT: existing CONNECTED relationship in the CRM with the MP (last contacted Jun 2026). Work directly, not via DLA.</t>
        </is>
      </c>
      <c r="Q55" s="9" t="n">
        <v>3</v>
      </c>
      <c r="R55" s="9" t="n">
        <v>4</v>
      </c>
      <c r="S55" s="9" t="n">
        <v>4</v>
      </c>
      <c r="T55" s="9" t="n">
        <v>0</v>
      </c>
      <c r="U55" s="9" t="n">
        <v>5</v>
      </c>
      <c r="V55" s="9" t="n">
        <v>5</v>
      </c>
      <c r="W55" s="10">
        <f>MAX(0,ROUND(Q55/5*Weights!$B$3+R55/5*Weights!$B$4+S55/5*Weights!$B$5+T55/5*Weights!$B$6+U55/5*Weights!$B$7+V55/5*Weights!$B$8-L55*Weights!$B$9,0))</f>
        <v>70</v>
      </c>
      <c r="X55" s="10" t="str">
        <f>IF(W55&gt;=Weights!$B$12,"A",IF(W55&gt;=Weights!$B$13,"B","C"))</f>
        <v>A</v>
      </c>
      <c r="Y55" s="11" t="inlineStr">
        <is>
          <t>Researching</t>
        </is>
      </c>
      <c r="Z55" s="7" t="inlineStr">
        <is>
          <t>Nate</t>
        </is>
      </c>
      <c r="AA55" s="8" t="inlineStr">
        <is>
          <t>Work the existing Ben Freeberg relationship directly; front an oncology-program angle. Note co-invest tendency (line up a lead).</t>
        </is>
      </c>
      <c r="AB55" s="7" t="inlineStr">
        <is>
          <t>2026-10-05</t>
        </is>
      </c>
      <c r="AC55" s="8" t="inlineStr">
        <is>
          <t>https://www.hcinnovationgroup.com/finance-revenue-cycle/news/55136523/oncology-focused-venture-capital-firm-closes-30m-fund; https://www.crunchbase.com/organization/oncology-ventures</t>
        </is>
      </c>
      <c r="AD55" s="8" t="inlineStr">
        <is>
          <t>Already in HubSpot (lead, CONNECTED). Email ben@oncology.ventures VERIFIED via CRM contact. Warm-path 5 = direct existing relationship. Oncology-only mandate is the main fit caveat.</t>
        </is>
      </c>
    </row>
    <row r="56">
      <c r="A56" s="7" t="inlineStr">
        <is>
          <t>Silversmith Capital Partners</t>
        </is>
      </c>
      <c r="B56" s="7" t="inlineStr">
        <is>
          <t>Growth-equity firm (healthcare IT / vertical SaaS)</t>
        </is>
      </c>
      <c r="C56" s="7" t="inlineStr">
        <is>
          <t>Boston, MA</t>
        </is>
      </c>
      <c r="D56" s="8" t="inlineStr">
        <is>
          <t>Fund V, $1.7B, closed Jul 2025 ($5B+ AUM)</t>
        </is>
      </c>
      <c r="E56" s="8" t="inlineStr">
        <is>
          <t>Growth-stage (Series B+); minority or majority</t>
        </is>
      </c>
      <c r="F56" s="7" t="inlineStr">
        <is>
          <t>$20M to $125M</t>
        </is>
      </c>
      <c r="G56" s="7" t="inlineStr">
        <is>
          <t>No (growth-stage)</t>
        </is>
      </c>
      <c r="H56" s="7" t="inlineStr">
        <is>
          <t>No</t>
        </is>
      </c>
      <c r="I56" s="8" t="inlineStr">
        <is>
          <t>Deep Healthcare IT &amp; Services book: Iodine Software (clinical AI/CDI), Panalgo (RWD/HEOR), Centauri, LifeStance, Nordic.</t>
        </is>
      </c>
      <c r="J56" s="8" t="inlineStr">
        <is>
          <t>Vertical SaaS + information services; some AI (Iodine clinical AI). Not an AI-for-science specialist.</t>
        </is>
      </c>
      <c r="K56" s="8" t="inlineStr">
        <is>
          <t>Panalgo (RWD/HEOR analytics) is adjacent to iViz but exited to Norstella (no longer active); not a live conflict.</t>
        </is>
      </c>
      <c r="L56" s="9" t="n">
        <v>0</v>
      </c>
      <c r="M56" s="8" t="inlineStr">
        <is>
          <t>Unknown</t>
        </is>
      </c>
      <c r="N56" s="7" t="inlineStr">
        <is>
          <t>Jeff Crisan</t>
        </is>
      </c>
      <c r="O56" s="7" t="inlineStr">
        <is>
          <t>Co-Founder &amp; Managing Partner, Healthcare IT &amp; Services (alt: Jim Quagliaroli)</t>
        </is>
      </c>
      <c r="P56" s="8" t="inlineStr">
        <is>
          <t>Cold; no named node.</t>
        </is>
      </c>
      <c r="Q56" s="9" t="n">
        <v>4</v>
      </c>
      <c r="R56" s="9" t="n">
        <v>3</v>
      </c>
      <c r="S56" s="9" t="n">
        <v>1</v>
      </c>
      <c r="T56" s="9" t="n">
        <v>1</v>
      </c>
      <c r="U56" s="9" t="n">
        <v>1</v>
      </c>
      <c r="V56" s="9" t="n">
        <v>5</v>
      </c>
      <c r="W56" s="10">
        <f>MAX(0,ROUND(Q56/5*Weights!$B$3+R56/5*Weights!$B$4+S56/5*Weights!$B$5+T56/5*Weights!$B$6+U56/5*Weights!$B$7+V56/5*Weights!$B$8-L56*Weights!$B$9,0))</f>
        <v>54</v>
      </c>
      <c r="X56" s="10" t="str">
        <f>IF(W56&gt;=Weights!$B$12,"A",IF(W56&gt;=Weights!$B$13,"B","C"))</f>
        <v>B</v>
      </c>
      <c r="Y56" s="11" t="inlineStr">
        <is>
          <t>Not contacted</t>
        </is>
      </c>
      <c r="Z56" s="7" t="inlineStr">
        <is>
          <t>Nate</t>
        </is>
      </c>
      <c r="AA56" s="8" t="inlineStr">
        <is>
          <t>WRONG STAGE for a $6M seed ($20M+ checks). File for Series B+; keep Jeff Crisan warm.</t>
        </is>
      </c>
      <c r="AB56" s="7" t="inlineStr">
        <is>
          <t>2026-10-05</t>
        </is>
      </c>
      <c r="AC56" s="8" t="inlineStr">
        <is>
          <t>https://www.silversmith.com/news/silversmith-capital-partners-closes-1-7-billion-fifth-fund; https://www.silversmith.com/portfolio</t>
        </is>
      </c>
      <c r="AD56" s="8" t="inlineStr">
        <is>
          <t>Right thesis (Door C, healthcare IT / vertical SaaS), wrong stage. Score 54 overstates seed-fit; treat as a later-round name. Email jcrisan@silversmith.com inferred (ZoomInfo j***@silversmith.com).</t>
        </is>
      </c>
    </row>
    <row r="57">
      <c r="A57" s="7" t="inlineStr">
        <is>
          <t>Care Equity</t>
        </is>
      </c>
      <c r="B57" s="7" t="inlineStr">
        <is>
          <t>Private equity (growth/control, life-science tools &amp; services)</t>
        </is>
      </c>
      <c r="C57" s="7" t="inlineStr">
        <is>
          <t>New York, NY</t>
        </is>
      </c>
      <c r="D57" s="8" t="inlineStr">
        <is>
          <t>Care Equity II, $302M (Oct 2022); Fund I $125M (~$425M AUM)</t>
        </is>
      </c>
      <c r="E57" s="8" t="inlineStr">
        <is>
          <t>Growth/buyout PE; NOT venture seed</t>
        </is>
      </c>
      <c r="F57" s="7" t="inlineStr">
        <is>
          <t>Unknown (8-figure PE checks)</t>
        </is>
      </c>
      <c r="G57" s="7" t="inlineStr">
        <is>
          <t>No</t>
        </is>
      </c>
      <c r="H57" s="7" t="inlineStr">
        <is>
          <t>Yes (CRM: lead)</t>
        </is>
      </c>
      <c r="I57" s="8" t="inlineStr">
        <is>
          <t>Wet-lab / bioanalytics tools &amp; services: OmicScouts (proteomics, exited to Momentum Mar 2025), TATAA Biocenter, Sapient Bioanalytics.</t>
        </is>
      </c>
      <c r="J57" s="8" t="inlineStr">
        <is>
          <t>None found; no AI/software-infrastructure holdings.</t>
        </is>
      </c>
      <c r="K57" s="8" t="inlineStr">
        <is>
          <t>None competing with Foresight/iViz; portfolio is lab services.</t>
        </is>
      </c>
      <c r="L57" s="9" t="n">
        <v>0</v>
      </c>
      <c r="M57" s="8" t="inlineStr">
        <is>
          <t>Unknown</t>
        </is>
      </c>
      <c r="N57" s="7" t="inlineStr">
        <is>
          <t>Sofia Etlin (firm: Peter Batesko, Founder/CEO)</t>
        </is>
      </c>
      <c r="O57" s="7" t="inlineStr">
        <is>
          <t>CRM contact</t>
        </is>
      </c>
      <c r="P57" s="8" t="inlineStr">
        <is>
          <t>Existing CRM contact (Sofia Etlin, lead stage); lighter than Oncology Ventures. Work directly if pursued.</t>
        </is>
      </c>
      <c r="Q57" s="9" t="n">
        <v>3</v>
      </c>
      <c r="R57" s="9" t="n">
        <v>1</v>
      </c>
      <c r="S57" s="9" t="n">
        <v>1</v>
      </c>
      <c r="T57" s="9" t="n">
        <v>1</v>
      </c>
      <c r="U57" s="9" t="n">
        <v>3</v>
      </c>
      <c r="V57" s="9" t="n">
        <v>4</v>
      </c>
      <c r="W57" s="10">
        <f>MAX(0,ROUND(Q57/5*Weights!$B$3+R57/5*Weights!$B$4+S57/5*Weights!$B$5+T57/5*Weights!$B$6+U57/5*Weights!$B$7+V57/5*Weights!$B$8-L57*Weights!$B$9,0))</f>
        <v>42</v>
      </c>
      <c r="X57" s="10" t="str">
        <f>IF(W57&gt;=Weights!$B$12,"A",IF(W57&gt;=Weights!$B$13,"B","C"))</f>
        <v>C</v>
      </c>
      <c r="Y57" s="11" t="inlineStr">
        <is>
          <t>Not contacted</t>
        </is>
      </c>
      <c r="Z57" s="7" t="inlineStr">
        <is>
          <t>Nate</t>
        </is>
      </c>
      <c r="AA57" s="8" t="inlineStr">
        <is>
          <t>PASS: off-thesis PE (control in lab tools/services), wrong structure for a $6M software seed.</t>
        </is>
      </c>
      <c r="AB57" s="7" t="inlineStr">
        <is>
          <t>2026-10-05</t>
        </is>
      </c>
      <c r="AC57" s="8" t="inlineStr">
        <is>
          <t>https://pitchbook.com/profiles/investor/458093-80; https://www.privateequityinternational.com/institution-profiles/care-equity.html</t>
        </is>
      </c>
      <c r="AD57" s="8" t="inlineStr">
        <is>
          <t>Already in HubSpot (lead). Email sofia@careequity.com VERIFIED via CRM; firm head Peter Batesko (peter@careequity.com inferred). Off-thesis growth/control PE in life-science lab services.</t>
        </is>
      </c>
    </row>
  </sheetData>
  <autoFilter ref="A1:AD57"/>
  <conditionalFormatting sqref="W2:W57">
    <cfRule type="colorScale" priority="1">
      <colorScale>
        <cfvo type="num" val="0"/>
        <cfvo type="num" val="50"/>
        <cfvo type="num" val="100"/>
        <color rgb="00F8B4B4"/>
        <color rgb="00FDE68A"/>
        <color rgb="00A7F3D0"/>
      </colorScale>
    </cfRule>
  </conditionalFormatting>
  <dataValidations count="3">
    <dataValidation sqref="Y2:Y257" showDropDown="0" showInputMessage="0" showErrorMessage="0" allowBlank="1" type="list">
      <formula1>"Not contacted,Researching,Intro requested,Intro made,First meeting,Diligence,Term sheet,Closed,Passed"</formula1>
    </dataValidation>
    <dataValidation sqref="Q2:Q257 R2:R257 S2:S257 T2:T257 U2:U257 V2:V257" showDropDown="0" showInputMessage="0" showErrorMessage="0" allowBlank="1" type="whole" operator="between">
      <formula1>0</formula1>
      <formula2>5</formula2>
    </dataValidation>
    <dataValidation sqref="L2:L257" showDropDown="0" showInputMessage="0" showErrorMessage="0" allowBlank="1" type="whole" operator="between">
      <formula1>0</formula1>
      <formula2>1</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2" customWidth="1" min="2" max="2"/>
    <col width="60" customWidth="1" min="3" max="3"/>
  </cols>
  <sheetData>
    <row r="1">
      <c r="A1" s="1" t="inlineStr">
        <is>
          <t>Scoring weights</t>
        </is>
      </c>
    </row>
    <row r="2">
      <c r="A2" s="12" t="inlineStr">
        <is>
          <t>Dimension</t>
        </is>
      </c>
      <c r="B2" s="12" t="inlineStr">
        <is>
          <t>Weight</t>
        </is>
      </c>
      <c r="C2" s="12" t="inlineStr">
        <is>
          <t>Note</t>
        </is>
      </c>
    </row>
    <row r="3">
      <c r="A3" s="13" t="inlineStr">
        <is>
          <t>Life science and TechBio evidence</t>
        </is>
      </c>
      <c r="B3" s="14" t="n">
        <v>30</v>
      </c>
      <c r="C3" s="3" t="inlineStr">
        <is>
          <t>Strongest predictor of a partner who can underwrite without a long education cycle.</t>
        </is>
      </c>
    </row>
    <row r="4">
      <c r="A4" s="13" t="inlineStr">
        <is>
          <t>Applied AI thesis evidence</t>
        </is>
      </c>
      <c r="B4" s="14" t="n">
        <v>20</v>
      </c>
      <c r="C4" s="3" t="inlineStr">
        <is>
          <t>Written thesis or an AI-native portfolio, not a homepage mention.</t>
        </is>
      </c>
    </row>
    <row r="5">
      <c r="A5" s="13" t="inlineStr">
        <is>
          <t>Stage fit</t>
        </is>
      </c>
      <c r="B5" s="14" t="n">
        <v>20</v>
      </c>
      <c r="C5" s="3" t="inlineStr">
        <is>
          <t>Scored against the confirmed round parameters, not a general notion of seed.</t>
        </is>
      </c>
    </row>
    <row r="6">
      <c r="A6" s="13" t="inlineStr">
        <is>
          <t>Check size fit</t>
        </is>
      </c>
      <c r="B6" s="14" t="n">
        <v>10</v>
      </c>
      <c r="C6" s="3" t="inlineStr">
        <is>
          <t>Score 0 if unknown. Do not derive a check size from a fund size.</t>
        </is>
      </c>
    </row>
    <row r="7">
      <c r="A7" s="13" t="inlineStr">
        <is>
          <t>Warm path strength</t>
        </is>
      </c>
      <c r="B7" s="14" t="n">
        <v>10</v>
      </c>
      <c r="C7" s="3" t="inlineStr">
        <is>
          <t>A named node scores high. An unnamed warm intro scores 2.</t>
        </is>
      </c>
    </row>
    <row r="8">
      <c r="A8" s="13" t="inlineStr">
        <is>
          <t>Deployment activity</t>
        </is>
      </c>
      <c r="B8" s="14" t="n">
        <v>10</v>
      </c>
      <c r="C8" s="3" t="inlineStr">
        <is>
          <t>Dry powder and pace. Late-cycle funds take meetings and do not write.</t>
        </is>
      </c>
    </row>
    <row r="9">
      <c r="A9" s="13" t="inlineStr">
        <is>
          <t>Conflict penalty (points)</t>
        </is>
      </c>
      <c r="B9" s="14" t="n">
        <v>25</v>
      </c>
      <c r="C9" s="3" t="inlineStr">
        <is>
          <t>Subtracted when Conflict flag is 1. Demotes rather than excludes.</t>
        </is>
      </c>
    </row>
    <row r="10">
      <c r="A10" s="15" t="inlineStr">
        <is>
          <t>Total weight (should be 100)</t>
        </is>
      </c>
      <c r="B10" s="13">
        <f>SUM(B3:B8)</f>
        <v/>
      </c>
    </row>
    <row r="12">
      <c r="A12" s="13" t="inlineStr">
        <is>
          <t>Tier A threshold</t>
        </is>
      </c>
      <c r="B12" s="14" t="n">
        <v>70</v>
      </c>
    </row>
    <row r="13">
      <c r="A13" s="13" t="inlineStr">
        <is>
          <t>Tier B threshold</t>
        </is>
      </c>
      <c r="B13" s="14" t="n">
        <v>50</v>
      </c>
    </row>
    <row r="15">
      <c r="A15" s="16" t="inlineStr">
        <is>
          <t>Blue figures are editable levers.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6" customWidth="1" min="1" max="1"/>
    <col width="52" customWidth="1" min="2" max="2"/>
    <col width="26" customWidth="1" min="3" max="3"/>
    <col width="58" customWidth="1" min="4" max="4"/>
    <col width="14" customWidth="1" min="5" max="5"/>
  </cols>
  <sheetData>
    <row r="1">
      <c r="A1" s="12" t="inlineStr">
        <is>
          <t>Firm</t>
        </is>
      </c>
      <c r="B1" s="12" t="inlineStr">
        <is>
          <t>Claim supported</t>
        </is>
      </c>
      <c r="C1" s="12" t="inlineStr">
        <is>
          <t>Source</t>
        </is>
      </c>
      <c r="D1" s="12" t="inlineStr">
        <is>
          <t>URL or record ID</t>
        </is>
      </c>
      <c r="E1" s="12" t="inlineStr">
        <is>
          <t>Accessed</t>
        </is>
      </c>
    </row>
    <row r="2">
      <c r="A2" s="7" t="inlineStr">
        <is>
          <t>Dimension Capital</t>
        </is>
      </c>
      <c r="B2" s="8" t="inlineStr">
        <is>
          <t>Fund III $800M, Jul 2026, $1.65B AUM; Chai Discovery seed</t>
        </is>
      </c>
      <c r="C2" s="7" t="inlineStr">
        <is>
          <t>TechCrunch</t>
        </is>
      </c>
      <c r="D2" s="8" t="inlineStr">
        <is>
          <t>https://techcrunch.com/2026/07/21/dimension-capitals-800m-third-fund-shows-the-intersection-of-science-and-compute-is-booming/</t>
        </is>
      </c>
      <c r="E2" s="7" t="inlineStr">
        <is>
          <t>2026-07-27</t>
        </is>
      </c>
    </row>
    <row r="3">
      <c r="A3" s="7" t="inlineStr">
        <is>
          <t>Dimension Capital</t>
        </is>
      </c>
      <c r="B3" s="8" t="inlineStr">
        <is>
          <t>Firm thesis and team</t>
        </is>
      </c>
      <c r="C3" s="7" t="inlineStr">
        <is>
          <t>Firm website</t>
        </is>
      </c>
      <c r="D3" s="8" t="inlineStr">
        <is>
          <t>https://www.dimensioncap.com/</t>
        </is>
      </c>
      <c r="E3" s="7" t="inlineStr">
        <is>
          <t>2026-07-27</t>
        </is>
      </c>
    </row>
    <row r="4">
      <c r="A4" s="7" t="inlineStr">
        <is>
          <t>a16z Bio + Health</t>
        </is>
      </c>
      <c r="B4" s="8" t="inlineStr">
        <is>
          <t>AI-in-healthcare thesis and portfolio</t>
        </is>
      </c>
      <c r="C4" s="7" t="inlineStr">
        <is>
          <t>a16z</t>
        </is>
      </c>
      <c r="D4" s="8" t="inlineStr">
        <is>
          <t>https://a16z.com/infinite-healthcare-whats-it-worth/</t>
        </is>
      </c>
      <c r="E4" s="7" t="inlineStr">
        <is>
          <t>2026-07-27</t>
        </is>
      </c>
    </row>
    <row r="5">
      <c r="A5" s="7" t="inlineStr">
        <is>
          <t>a16z Bio + Health</t>
        </is>
      </c>
      <c r="B5" s="8" t="inlineStr">
        <is>
          <t>Julie Yoo role</t>
        </is>
      </c>
      <c r="C5" s="7" t="inlineStr">
        <is>
          <t>a16z</t>
        </is>
      </c>
      <c r="D5" s="8" t="inlineStr">
        <is>
          <t>https://a16z.com/author/julie-yoo/</t>
        </is>
      </c>
      <c r="E5" s="7" t="inlineStr">
        <is>
          <t>2026-07-27</t>
        </is>
      </c>
    </row>
    <row r="6">
      <c r="A6" s="7" t="inlineStr">
        <is>
          <t>Section 32</t>
        </is>
      </c>
      <c r="B6" s="8" t="inlineStr">
        <is>
          <t>Pellini leads healthcare; Freenome/precision medicine</t>
        </is>
      </c>
      <c r="C6" s="7" t="inlineStr">
        <is>
          <t>Crunchbase</t>
        </is>
      </c>
      <c r="D6" s="8" t="inlineStr">
        <is>
          <t>https://www.crunchbase.com/person/michael-j-pellini</t>
        </is>
      </c>
      <c r="E6" s="7" t="inlineStr">
        <is>
          <t>2026-07-27</t>
        </is>
      </c>
    </row>
    <row r="7">
      <c r="A7" s="7" t="inlineStr">
        <is>
          <t>Lux Capital</t>
        </is>
      </c>
      <c r="B7" s="8" t="inlineStr">
        <is>
          <t>Shakir is a Lux GP, health/AI focus</t>
        </is>
      </c>
      <c r="C7" s="7" t="inlineStr">
        <is>
          <t>Firm website</t>
        </is>
      </c>
      <c r="D7" s="8" t="inlineStr">
        <is>
          <t>https://www.luxcapital.com/people</t>
        </is>
      </c>
      <c r="E7" s="7" t="inlineStr">
        <is>
          <t>2026-07-27</t>
        </is>
      </c>
    </row>
    <row r="8">
      <c r="A8" s="7" t="inlineStr">
        <is>
          <t>Foresite Capital</t>
        </is>
      </c>
      <c r="B8" s="8" t="inlineStr">
        <is>
          <t>Fund VI $900M Jun 2024; Xaira co-lead</t>
        </is>
      </c>
      <c r="C8" s="7" t="inlineStr">
        <is>
          <t>BioPharma Dive</t>
        </is>
      </c>
      <c r="D8" s="8" t="inlineStr">
        <is>
          <t>https://www.biopharmadive.com/news/foresite-950-million-fund-vi-venture-capital/718617/</t>
        </is>
      </c>
      <c r="E8" s="7" t="inlineStr">
        <is>
          <t>2026-07-27</t>
        </is>
      </c>
    </row>
    <row r="9">
      <c r="A9" s="7" t="inlineStr">
        <is>
          <t>Khosla Ventures</t>
        </is>
      </c>
      <c r="B9" s="8" t="inlineStr">
        <is>
          <t>Khosla led Rad AI $50M Series B (2024)</t>
        </is>
      </c>
      <c r="C9" s="7" t="inlineStr">
        <is>
          <t>Rad AI</t>
        </is>
      </c>
      <c r="D9" s="8" t="inlineStr">
        <is>
          <t>https://www.radai.com/news/rad-ai-closes-50-million-to-empower-physicians-with-ai</t>
        </is>
      </c>
      <c r="E9" s="7" t="inlineStr">
        <is>
          <t>2026-07-27</t>
        </is>
      </c>
    </row>
    <row r="10">
      <c r="A10" s="7" t="inlineStr">
        <is>
          <t>DCVC Bio</t>
        </is>
      </c>
      <c r="B10" s="8" t="inlineStr">
        <is>
          <t>DCVC Bio III ~$700M, 2024</t>
        </is>
      </c>
      <c r="C10" s="7" t="inlineStr">
        <is>
          <t>VCwire</t>
        </is>
      </c>
      <c r="D10" s="8" t="inlineStr">
        <is>
          <t>https://vcwire.tech/2024/10/01/dcvc-closes-over-700m-in-new-funds/</t>
        </is>
      </c>
      <c r="E10" s="7" t="inlineStr">
        <is>
          <t>2026-07-27</t>
        </is>
      </c>
    </row>
    <row r="11">
      <c r="A11" s="7" t="inlineStr">
        <is>
          <t>Menlo Ventures</t>
        </is>
      </c>
      <c r="B11" s="8" t="inlineStr">
        <is>
          <t>Menlo led Chai Discovery $70M Series A (2025)</t>
        </is>
      </c>
      <c r="C11" s="7" t="inlineStr">
        <is>
          <t>PharmExec</t>
        </is>
      </c>
      <c r="D11" s="8" t="inlineStr">
        <is>
          <t>https://www.pharmexec.com/view/menlo-ventures-led-70-million-series-a-fundraiser-chai-discovery-transform-molecular-design</t>
        </is>
      </c>
      <c r="E11" s="7" t="inlineStr">
        <is>
          <t>2026-07-27</t>
        </is>
      </c>
    </row>
    <row r="12">
      <c r="A12" s="7" t="inlineStr">
        <is>
          <t>8VC</t>
        </is>
      </c>
      <c r="B12" s="8" t="inlineStr">
        <is>
          <t>Scotti healthcare focus at 8VC</t>
        </is>
      </c>
      <c r="C12" s="7" t="inlineStr">
        <is>
          <t>Signal/NFX</t>
        </is>
      </c>
      <c r="D12" s="8" t="inlineStr">
        <is>
          <t>https://signal.nfx.com/investors/kimmy-scotti</t>
        </is>
      </c>
      <c r="E12" s="7" t="inlineStr">
        <is>
          <t>2026-07-27</t>
        </is>
      </c>
    </row>
    <row r="13">
      <c r="A13" s="7" t="inlineStr">
        <is>
          <t>GV (Google Ventures)</t>
        </is>
      </c>
      <c r="B13" s="8" t="inlineStr">
        <is>
          <t>Yeshwant co-leads GV life sciences</t>
        </is>
      </c>
      <c r="C13" s="7" t="inlineStr">
        <is>
          <t>Firm website</t>
        </is>
      </c>
      <c r="D13" s="8" t="inlineStr">
        <is>
          <t>https://www.gv.com/team/krishna-yeshwant</t>
        </is>
      </c>
      <c r="E13" s="7" t="inlineStr">
        <is>
          <t>2026-07-27</t>
        </is>
      </c>
    </row>
    <row r="14">
      <c r="A14" s="7" t="inlineStr">
        <is>
          <t>Breyer Capital</t>
        </is>
      </c>
      <c r="B14" s="8" t="inlineStr">
        <is>
          <t>Cheatham hired by Breyer to lead HC/LS (Apr 2025)</t>
        </is>
      </c>
      <c r="C14" s="7" t="inlineStr">
        <is>
          <t>Forbes</t>
        </is>
      </c>
      <c r="D14" s="8" t="inlineStr">
        <is>
          <t>https://www.forbes.com/sites/sindhyavalloppillil/2025/04/24/billionaire-vc-jim-breyer-taps-morgan-cheatham-to-drive-the-future-of-healthcare-and-life-sciences/</t>
        </is>
      </c>
      <c r="E14" s="7" t="inlineStr">
        <is>
          <t>2026-07-27</t>
        </is>
      </c>
    </row>
    <row r="15">
      <c r="A15" s="7" t="inlineStr">
        <is>
          <t>Obvious Ventures</t>
        </is>
      </c>
      <c r="B15" s="8" t="inlineStr">
        <is>
          <t>Fund V $360M Jan 2026; check band</t>
        </is>
      </c>
      <c r="C15" s="7" t="inlineStr">
        <is>
          <t>Firm website</t>
        </is>
      </c>
      <c r="D15" s="8" t="inlineStr">
        <is>
          <t>https://obvious.com/team/james-joaquin/</t>
        </is>
      </c>
      <c r="E15" s="7" t="inlineStr">
        <is>
          <t>2026-07-27</t>
        </is>
      </c>
    </row>
    <row r="16">
      <c r="A16" s="7" t="inlineStr">
        <is>
          <t>Zetta Venture Partners</t>
        </is>
      </c>
      <c r="B16" s="8" t="inlineStr">
        <is>
          <t>AI-first thesis; VideaHealth backing</t>
        </is>
      </c>
      <c r="C16" s="7" t="inlineStr">
        <is>
          <t>Zetta / Caplight</t>
        </is>
      </c>
      <c r="D16" s="8" t="inlineStr">
        <is>
          <t>https://www.caplight.com/investor/zettavp</t>
        </is>
      </c>
      <c r="E16" s="7" t="inlineStr">
        <is>
          <t>2026-07-27</t>
        </is>
      </c>
    </row>
    <row r="17">
      <c r="A17" s="7" t="inlineStr">
        <is>
          <t>Two Sigma Ventures</t>
        </is>
      </c>
      <c r="B17" s="8" t="inlineStr">
        <is>
          <t>Data-science thesis; healthcare line; insitro</t>
        </is>
      </c>
      <c r="C17" s="7" t="inlineStr">
        <is>
          <t>Firm website</t>
        </is>
      </c>
      <c r="D17" s="8" t="inlineStr">
        <is>
          <t>https://twosigmaventures.com/our-focus/</t>
        </is>
      </c>
      <c r="E17" s="7" t="inlineStr">
        <is>
          <t>2026-07-27</t>
        </is>
      </c>
    </row>
    <row r="18">
      <c r="A18" s="7" t="inlineStr">
        <is>
          <t>Bessemer Venture Partners</t>
        </is>
      </c>
      <c r="B18" s="8" t="inlineStr">
        <is>
          <t>BVP Healthcare AI Roadmap</t>
        </is>
      </c>
      <c r="C18" s="7" t="inlineStr">
        <is>
          <t>BVP Atlas</t>
        </is>
      </c>
      <c r="D18" s="8" t="inlineStr">
        <is>
          <t>https://www.bvp.com/atlas/roadmap-healthcare-ai</t>
        </is>
      </c>
      <c r="E18" s="7" t="inlineStr">
        <is>
          <t>2026-07-27</t>
        </is>
      </c>
    </row>
    <row r="19">
      <c r="A19" s="7" t="inlineStr">
        <is>
          <t>Amplify Partners</t>
        </is>
      </c>
      <c r="B19" s="8" t="inlineStr">
        <is>
          <t>Catanzaro GP; ML/data portfolio</t>
        </is>
      </c>
      <c r="C19" s="7" t="inlineStr">
        <is>
          <t>Firm website</t>
        </is>
      </c>
      <c r="D19" s="8" t="inlineStr">
        <is>
          <t>https://www.amplifypartners.com/team/sarah-catanzaro</t>
        </is>
      </c>
      <c r="E19" s="7" t="inlineStr">
        <is>
          <t>2026-07-27</t>
        </is>
      </c>
    </row>
    <row r="20">
      <c r="A20" s="7" t="inlineStr">
        <is>
          <t>Conviction</t>
        </is>
      </c>
      <c r="B20" s="8" t="inlineStr">
        <is>
          <t>Fund II ~$230M Jan 2025; leads; $1M-$25M checks</t>
        </is>
      </c>
      <c r="C20" s="7" t="inlineStr">
        <is>
          <t>Forbes</t>
        </is>
      </c>
      <c r="D20" s="8" t="inlineStr">
        <is>
          <t>https://www.forbes.com/sites/alexkonrad/2025/01/31/inside-venture-capital-great-reshuffling/</t>
        </is>
      </c>
      <c r="E20" s="7" t="inlineStr">
        <is>
          <t>2026-09-30</t>
        </is>
      </c>
    </row>
    <row r="21">
      <c r="A21" s="7" t="inlineStr">
        <is>
          <t>Conviction</t>
        </is>
      </c>
      <c r="B21" s="8" t="inlineStr">
        <is>
          <t>Applied/vertical-AI thesis names biology; OpenEvidence health holding</t>
        </is>
      </c>
      <c r="C21" s="7" t="inlineStr">
        <is>
          <t>Conviction / Forbes</t>
        </is>
      </c>
      <c r="D21" s="8" t="inlineStr">
        <is>
          <t>https://saranormous.substack.com/p/launching-with-conviction</t>
        </is>
      </c>
      <c r="E21" s="7" t="inlineStr">
        <is>
          <t>2026-09-30</t>
        </is>
      </c>
    </row>
    <row r="22">
      <c r="A22" s="7" t="inlineStr">
        <is>
          <t>Radical Ventures</t>
        </is>
      </c>
      <c r="B22" s="8" t="inlineStr">
        <is>
          <t>Fund sizes and AUM</t>
        </is>
      </c>
      <c r="C22" s="7" t="inlineStr">
        <is>
          <t>BetaKit</t>
        </is>
      </c>
      <c r="D22" s="8" t="inlineStr">
        <is>
          <t>https://betakit.com/radical-ventures-holds-650-million-usd-final-close-for-new-early-stage-ai-fund/</t>
        </is>
      </c>
      <c r="E22" s="7" t="inlineStr">
        <is>
          <t>2026-09-30</t>
        </is>
      </c>
    </row>
    <row r="23">
      <c r="A23" s="7" t="inlineStr">
        <is>
          <t>Radical Ventures</t>
        </is>
      </c>
      <c r="B23" s="8" t="inlineStr">
        <is>
          <t>AI in Sciences thesis; Unlearn.AI holding</t>
        </is>
      </c>
      <c r="C23" s="7" t="inlineStr">
        <is>
          <t>Radical Ventures</t>
        </is>
      </c>
      <c r="D23" s="8" t="inlineStr">
        <is>
          <t>https://radical.vc/investing-in-the-exponential-ai-in-sciences/</t>
        </is>
      </c>
      <c r="E23" s="7" t="inlineStr">
        <is>
          <t>2026-09-30</t>
        </is>
      </c>
    </row>
    <row r="24">
      <c r="A24" s="7" t="inlineStr">
        <is>
          <t>Basis Set Ventures</t>
        </is>
      </c>
      <c r="B24" s="8" t="inlineStr">
        <is>
          <t>Fund IV $250M Jan 2026; $2-3M seed checks</t>
        </is>
      </c>
      <c r="C24" s="7" t="inlineStr">
        <is>
          <t>Wikipedia / f4.fund</t>
        </is>
      </c>
      <c r="D24" s="8" t="inlineStr">
        <is>
          <t>https://en.wikipedia.org/wiki/Basis_Set_Ventures</t>
        </is>
      </c>
      <c r="E24" s="7" t="inlineStr">
        <is>
          <t>2026-09-30</t>
        </is>
      </c>
    </row>
    <row r="25">
      <c r="A25" s="7" t="inlineStr">
        <is>
          <t>Basis Set Ventures</t>
        </is>
      </c>
      <c r="B25" s="8" t="inlineStr">
        <is>
          <t>Life-science/healthcare sectors and holdings</t>
        </is>
      </c>
      <c r="C25" s="7" t="inlineStr">
        <is>
          <t>Firm website</t>
        </is>
      </c>
      <c r="D25" s="8" t="inlineStr">
        <is>
          <t>https://www.basisset.com/portfolio</t>
        </is>
      </c>
      <c r="E25" s="7" t="inlineStr">
        <is>
          <t>2026-09-30</t>
        </is>
      </c>
    </row>
    <row r="26">
      <c r="A26" s="7" t="inlineStr">
        <is>
          <t>Catalio Capital</t>
        </is>
      </c>
      <c r="B26" s="8" t="inlineStr">
        <is>
          <t>Nexus Fund IV &gt;$400M Jul 2025</t>
        </is>
      </c>
      <c r="C26" s="7" t="inlineStr">
        <is>
          <t>BusinessWire</t>
        </is>
      </c>
      <c r="D26" s="8" t="inlineStr">
        <is>
          <t>https://www.businesswire.com/news/home/20250701360026/en/</t>
        </is>
      </c>
      <c r="E26" s="7" t="inlineStr">
        <is>
          <t>2026-07-27</t>
        </is>
      </c>
    </row>
    <row r="27">
      <c r="A27" s="7" t="inlineStr">
        <is>
          <t>5AM Ventures</t>
        </is>
      </c>
      <c r="B27" s="8" t="inlineStr">
        <is>
          <t>5AM is a therapeutics biotech VC</t>
        </is>
      </c>
      <c r="C27" s="7" t="inlineStr">
        <is>
          <t>Firm website</t>
        </is>
      </c>
      <c r="D27" s="8" t="inlineStr">
        <is>
          <t>https://5amventures.com/team/</t>
        </is>
      </c>
      <c r="E27" s="7" t="inlineStr">
        <is>
          <t>2026-07-27</t>
        </is>
      </c>
    </row>
    <row r="28">
      <c r="A28" s="7" t="inlineStr">
        <is>
          <t>Sanofi Ventures</t>
        </is>
      </c>
      <c r="B28" s="8" t="inlineStr">
        <is>
          <t>+$625M Sep 2025, ~$1.4B AUM; digital-health/AI vertical</t>
        </is>
      </c>
      <c r="C28" s="7" t="inlineStr">
        <is>
          <t>BioSpace</t>
        </is>
      </c>
      <c r="D28" s="8" t="inlineStr">
        <is>
          <t>https://www.biospace.com/press-releases/press-release-sanofi-commits-an-additional-625-million-to-sanofi-ventures-to-accelerate-investment-in-biotech-and-digital-health-innovation</t>
        </is>
      </c>
      <c r="E28" s="7" t="inlineStr">
        <is>
          <t>2026-09-30</t>
        </is>
      </c>
    </row>
    <row r="29">
      <c r="A29" s="7" t="inlineStr">
        <is>
          <t>MSD Global Health Innovation Fund (GHIF)</t>
        </is>
      </c>
      <c r="B29" s="8" t="inlineStr">
        <is>
          <t>IDEA Studios 2024; digital-health/data-science mandate</t>
        </is>
      </c>
      <c r="C29" s="7" t="inlineStr">
        <is>
          <t>MSD</t>
        </is>
      </c>
      <c r="D29" s="8" t="inlineStr">
        <is>
          <t>https://www.msd.com/news/msd-launches-idea-studios-to-fuel-health-care-innovation/</t>
        </is>
      </c>
      <c r="E29" s="7" t="inlineStr">
        <is>
          <t>2026-09-30</t>
        </is>
      </c>
    </row>
    <row r="30">
      <c r="A30" s="7" t="inlineStr">
        <is>
          <t>Danaher Ventures</t>
        </is>
      </c>
      <c r="B30" s="8" t="inlineStr">
        <is>
          <t>Innovaccer partnership Jan 2025; Scopio Jul 2025</t>
        </is>
      </c>
      <c r="C30" s="7" t="inlineStr">
        <is>
          <t>PRNewswire / Caplight</t>
        </is>
      </c>
      <c r="D30" s="8" t="inlineStr">
        <is>
          <t>https://www.prnewswire.com/news-releases/danaher-announces-investment-partnership-in-innovaccer-inc-302347452.html</t>
        </is>
      </c>
      <c r="E30" s="7" t="inlineStr">
        <is>
          <t>2026-09-30</t>
        </is>
      </c>
    </row>
    <row r="31">
      <c r="A31" s="7" t="inlineStr">
        <is>
          <t>Thermo Fisher Strategic Capital</t>
        </is>
      </c>
      <c r="B31" s="8" t="inlineStr">
        <is>
          <t>Strategic Capital team; CytoReason backing</t>
        </is>
      </c>
      <c r="C31" s="7" t="inlineStr">
        <is>
          <t>Global Venturing</t>
        </is>
      </c>
      <c r="D31" s="8" t="inlineStr">
        <is>
          <t>https://globalventuring.com/corporate/people/thermo-fisher-scientific-brings-massey-onboard/</t>
        </is>
      </c>
      <c r="E31" s="7" t="inlineStr">
        <is>
          <t>2026-09-30</t>
        </is>
      </c>
    </row>
    <row r="32">
      <c r="A32" s="7" t="inlineStr">
        <is>
          <t>UPMC Enterprises</t>
        </is>
      </c>
      <c r="B32" s="8" t="inlineStr">
        <is>
          <t>Led Carta Healthcare Series B1 (AI clinical data)</t>
        </is>
      </c>
      <c r="C32" s="7" t="inlineStr">
        <is>
          <t>UPMC Enterprises</t>
        </is>
      </c>
      <c r="D32" s="8" t="inlineStr">
        <is>
          <t>https://enterprises.upmc.com/resources/insights/upmc-enterprises-leads-investment-round-in-carta-healthcare-to-advance-ai-powered-clinical-data-management/</t>
        </is>
      </c>
      <c r="E32" s="7" t="inlineStr">
        <is>
          <t>2026-09-30</t>
        </is>
      </c>
    </row>
    <row r="33">
      <c r="A33" s="7" t="inlineStr">
        <is>
          <t>Osage University Partners (OUP)</t>
        </is>
      </c>
      <c r="B33" s="8" t="inlineStr">
        <is>
          <t>Fund IV, ~$800M AUM, university-IP mandate</t>
        </is>
      </c>
      <c r="C33" s="7" t="inlineStr">
        <is>
          <t>Crunchbase News</t>
        </is>
      </c>
      <c r="D33" s="8" t="inlineStr">
        <is>
          <t>https://news.crunchbase.com/venture/osage-university-partners-raises-third-fund-for-university-research-spinouts/</t>
        </is>
      </c>
      <c r="E33" s="7" t="inlineStr">
        <is>
          <t>2026-09-30</t>
        </is>
      </c>
    </row>
    <row r="34">
      <c r="A34" s="7" t="inlineStr">
        <is>
          <t>The Engine Ventures</t>
        </is>
      </c>
      <c r="B34" s="8" t="inlineStr">
        <is>
          <t>Fund III $398M Jun 2024</t>
        </is>
      </c>
      <c r="C34" s="7" t="inlineStr">
        <is>
          <t>Forbes</t>
        </is>
      </c>
      <c r="D34" s="8" t="inlineStr">
        <is>
          <t>https://www.forbes.com/sites/alexknapp/2024/06/18/mit-spinout-the-engine-ventures-raises-new-400-million-fund-to-tackle-techs-toughest-problems/</t>
        </is>
      </c>
      <c r="E34" s="7" t="inlineStr">
        <is>
          <t>2026-09-30</t>
        </is>
      </c>
    </row>
    <row r="35">
      <c r="A35" s="7" t="inlineStr">
        <is>
          <t>Alexandria Venture Investments</t>
        </is>
      </c>
      <c r="B35" s="8" t="inlineStr">
        <is>
          <t>~$2.7B across 32 new companies in 2024</t>
        </is>
      </c>
      <c r="C35" s="7" t="inlineStr">
        <is>
          <t>Tracxn</t>
        </is>
      </c>
      <c r="D35" s="8" t="inlineStr">
        <is>
          <t>https://tracxn.com/d/venture-capital/alexandria-venture-investments/</t>
        </is>
      </c>
      <c r="E35" s="7" t="inlineStr">
        <is>
          <t>2026-09-30</t>
        </is>
      </c>
    </row>
    <row r="36">
      <c r="A36" s="7" t="inlineStr">
        <is>
          <t>Mayo Clinic Ventures / Platform</t>
        </is>
      </c>
      <c r="B36" s="8" t="inlineStr">
        <is>
          <t>Platform_Insights 2025; Platform_Accelerate AI cohorts</t>
        </is>
      </c>
      <c r="C36" s="7" t="inlineStr">
        <is>
          <t>Mayo Clinic</t>
        </is>
      </c>
      <c r="D36" s="8" t="inlineStr">
        <is>
          <t>https://newsnetwork.mayoclinic.org/discussion/mayo-clinic-launches-mayo-clinic-platform_insights-to-advance-digital-innovation-and-quality-improvement-across-healthcare/</t>
        </is>
      </c>
      <c r="E36" s="7" t="inlineStr">
        <is>
          <t>2026-09-30</t>
        </is>
      </c>
    </row>
    <row r="37">
      <c r="A37" s="7" t="inlineStr">
        <is>
          <t>Artis Ventures (AV)</t>
        </is>
      </c>
      <c r="B37" s="8" t="inlineStr">
        <is>
          <t>TechBio II $200M; leads health-AI rounds (Cartography B Oct 2025)</t>
        </is>
      </c>
      <c r="C37" s="7" t="inlineStr">
        <is>
          <t>Dry Powder / av.co</t>
        </is>
      </c>
      <c r="D37" s="8" t="inlineStr">
        <is>
          <t>https://drypowdercapital.beehiiv.com/p/artis-ventures-closes-200m-fund</t>
        </is>
      </c>
      <c r="E37" s="7" t="inlineStr">
        <is>
          <t>2026-10-05</t>
        </is>
      </c>
    </row>
    <row r="38">
      <c r="A38" s="7" t="inlineStr">
        <is>
          <t>2048 Ventures</t>
        </is>
      </c>
      <c r="B38" s="8" t="inlineStr">
        <is>
          <t>Fund III $82M Jan 2026; leads seed; Vertical AI + Health + Bio</t>
        </is>
      </c>
      <c r="C38" s="7" t="inlineStr">
        <is>
          <t>2048.vc / buildmvpfast</t>
        </is>
      </c>
      <c r="D38" s="8" t="inlineStr">
        <is>
          <t>https://www.buildmvpfast.com/blog/2048vc-pre-seed-fast-track-vertical-ai-startup-funding-2026</t>
        </is>
      </c>
      <c r="E38" s="7" t="inlineStr">
        <is>
          <t>2026-10-05</t>
        </is>
      </c>
    </row>
    <row r="39">
      <c r="A39" s="7" t="inlineStr">
        <is>
          <t>Modi Ventures</t>
        </is>
      </c>
      <c r="B39" s="8" t="inlineStr">
        <is>
          <t>Fund II $88M 2025; AI x biology; Brainomix Feb 2026, RBL Aug 2025</t>
        </is>
      </c>
      <c r="C39" s="7" t="inlineStr">
        <is>
          <t>VCwire</t>
        </is>
      </c>
      <c r="D39" s="8" t="inlineStr">
        <is>
          <t>https://vcwire.tech/2025/07/18/modi-ventures-closes-second-fund-at-88m/</t>
        </is>
      </c>
      <c r="E39" s="7" t="inlineStr">
        <is>
          <t>2026-10-05</t>
        </is>
      </c>
    </row>
    <row r="40">
      <c r="A40" s="7" t="inlineStr">
        <is>
          <t>Coho Deeptech</t>
        </is>
      </c>
      <c r="B40" s="8" t="inlineStr">
        <is>
          <t>AI + bio/health pre-seed/seed; Runware Dec 2025</t>
        </is>
      </c>
      <c r="C40" s="7" t="inlineStr">
        <is>
          <t>Coho / Tracxn</t>
        </is>
      </c>
      <c r="D40" s="8" t="inlineStr">
        <is>
          <t>https://www.cohovc.com/</t>
        </is>
      </c>
      <c r="E40" s="7" t="inlineStr">
        <is>
          <t>2026-10-05</t>
        </is>
      </c>
    </row>
    <row r="41">
      <c r="A41" s="7" t="inlineStr">
        <is>
          <t>First Star Ventures</t>
        </is>
      </c>
      <c r="B41" s="8" t="inlineStr">
        <is>
          <t>Fund III Jun 2025; computational biotech; Extellis $6.8M Seed Nov 2025</t>
        </is>
      </c>
      <c r="C41" s="7" t="inlineStr">
        <is>
          <t>VC Sheet / StartupIntros</t>
        </is>
      </c>
      <c r="D41" s="8" t="inlineStr">
        <is>
          <t>https://www.vcsheet.com/fund/first-star-ventures</t>
        </is>
      </c>
      <c r="E41" s="7" t="inlineStr">
        <is>
          <t>2026-10-05</t>
        </is>
      </c>
    </row>
    <row r="42">
      <c r="A42" s="7" t="inlineStr">
        <is>
          <t>Asset Management Ventures (AMV)</t>
        </is>
      </c>
      <c r="B42" s="8" t="inlineStr">
        <is>
          <t>Fund V $150M; Autonomize Series A Jun 2025</t>
        </is>
      </c>
      <c r="C42" s="7" t="inlineStr">
        <is>
          <t>Asset Management Ventures / Tracxn</t>
        </is>
      </c>
      <c r="D42" s="8" t="inlineStr">
        <is>
          <t>https://assetman.com/</t>
        </is>
      </c>
      <c r="E42" s="7" t="inlineStr">
        <is>
          <t>2026-10-05</t>
        </is>
      </c>
    </row>
    <row r="43">
      <c r="A43" s="7" t="inlineStr">
        <is>
          <t>1984 Ventures</t>
        </is>
      </c>
      <c r="B43" s="8" t="inlineStr">
        <is>
          <t>Thesis: vertical AI, dev tools &amp; infra, digital health</t>
        </is>
      </c>
      <c r="C43" s="7" t="inlineStr">
        <is>
          <t>1984.vc</t>
        </is>
      </c>
      <c r="D43" s="8" t="inlineStr">
        <is>
          <t>https://1984.vc/</t>
        </is>
      </c>
      <c r="E43" s="7" t="inlineStr">
        <is>
          <t>2026-10-05</t>
        </is>
      </c>
    </row>
    <row r="44">
      <c r="A44" s="7" t="inlineStr">
        <is>
          <t>Starbloom Capital</t>
        </is>
      </c>
      <c r="B44" s="8" t="inlineStr">
        <is>
          <t>Led Adaptyx $14M seed Oct 2025</t>
        </is>
      </c>
      <c r="C44" s="7" t="inlineStr">
        <is>
          <t>Starbloom / Crunchbase</t>
        </is>
      </c>
      <c r="D44" s="8" t="inlineStr">
        <is>
          <t>https://www.starbloom.capital/</t>
        </is>
      </c>
      <c r="E44" s="7" t="inlineStr">
        <is>
          <t>2026-10-05</t>
        </is>
      </c>
    </row>
    <row r="45">
      <c r="A45" s="7" t="inlineStr">
        <is>
          <t>Qiming Venture Partners USA</t>
        </is>
      </c>
      <c r="B45" s="8" t="inlineStr">
        <is>
          <t>US Healthcare Fund III $260M 2022</t>
        </is>
      </c>
      <c r="C45" s="7" t="inlineStr">
        <is>
          <t>BusinessWire / FierceBiotech</t>
        </is>
      </c>
      <c r="D45" s="8" t="inlineStr">
        <is>
          <t>https://www.businesswire.com/news/home/20220602005291/en/</t>
        </is>
      </c>
      <c r="E45" s="7" t="inlineStr">
        <is>
          <t>2026-10-05</t>
        </is>
      </c>
    </row>
    <row r="46">
      <c r="A46" s="7" t="inlineStr">
        <is>
          <t>Amasia</t>
        </is>
      </c>
      <c r="B46" s="8" t="inlineStr">
        <is>
          <t>EvolutionIQ Series C Aug 2024; Topanga Series A Feb 2025</t>
        </is>
      </c>
      <c r="C46" s="7" t="inlineStr">
        <is>
          <t>Amasia / VC Sheet</t>
        </is>
      </c>
      <c r="D46" s="8" t="inlineStr">
        <is>
          <t>https://www.amasia.vc/team</t>
        </is>
      </c>
      <c r="E46" s="7" t="inlineStr">
        <is>
          <t>2026-10-05</t>
        </is>
      </c>
    </row>
    <row r="47">
      <c r="A47" s="7" t="inlineStr">
        <is>
          <t>Zone 2 Ventures</t>
        </is>
      </c>
      <c r="B47" s="8" t="inlineStr">
        <is>
          <t>Fund I opened Dec 2024; AI + healthcare mandate</t>
        </is>
      </c>
      <c r="C47" s="7" t="inlineStr">
        <is>
          <t>PitchBook / Dealroom</t>
        </is>
      </c>
      <c r="D47" s="8" t="inlineStr">
        <is>
          <t>https://app.dealroom.co/companies/zone_ii_ventures</t>
        </is>
      </c>
      <c r="E47" s="7" t="inlineStr">
        <is>
          <t>2026-10-05</t>
        </is>
      </c>
    </row>
    <row r="48">
      <c r="A48" s="7" t="inlineStr">
        <is>
          <t>Lilly Ventures</t>
        </is>
      </c>
      <c r="B48" s="8" t="inlineStr">
        <is>
          <t>Backs Insilico Medicine (AI drug discovery), basys.ai</t>
        </is>
      </c>
      <c r="C48" s="7" t="inlineStr">
        <is>
          <t>CB Insights</t>
        </is>
      </c>
      <c r="D48" s="8" t="inlineStr">
        <is>
          <t>https://www.cbinsights.com/investor/lilly-ventures</t>
        </is>
      </c>
      <c r="E48" s="7" t="inlineStr">
        <is>
          <t>2026-10-05</t>
        </is>
      </c>
    </row>
    <row r="49">
      <c r="A49" s="7" t="inlineStr">
        <is>
          <t>Mubadala Capital</t>
        </is>
      </c>
      <c r="B49" s="8" t="inlineStr">
        <is>
          <t>~$400M ventures fund; Series B+ growth deals (Waymo, HERE)</t>
        </is>
      </c>
      <c r="C49" s="7" t="inlineStr">
        <is>
          <t>Mubadala Capital / VC Sheet</t>
        </is>
      </c>
      <c r="D49" s="8" t="inlineStr">
        <is>
          <t>https://www.mubadalacapital.ae/ventures</t>
        </is>
      </c>
      <c r="E49" s="7" t="inlineStr">
        <is>
          <t>2026-10-05</t>
        </is>
      </c>
    </row>
    <row r="50">
      <c r="A50" s="7" t="inlineStr">
        <is>
          <t>Neovate Capital Partners</t>
        </is>
      </c>
      <c r="B50" s="8" t="inlineStr">
        <is>
          <t>Medtech &amp; biopharma (devices/therapeutics) focus</t>
        </is>
      </c>
      <c r="C50" s="7" t="inlineStr">
        <is>
          <t>Dealroom / MNVC</t>
        </is>
      </c>
      <c r="D50" s="8" t="inlineStr">
        <is>
          <t>https://app.dealroom.co/companies/neovate_capital_partners</t>
        </is>
      </c>
      <c r="E50" s="7" t="inlineStr">
        <is>
          <t>2026-10-05</t>
        </is>
      </c>
    </row>
    <row r="51">
      <c r="A51" s="7" t="inlineStr">
        <is>
          <t>Epidarex Capital</t>
        </is>
      </c>
      <c r="B51" s="8" t="inlineStr">
        <is>
          <t>Fund IV first close $145M Jan 2026 (therapeutics)</t>
        </is>
      </c>
      <c r="C51" s="7" t="inlineStr">
        <is>
          <t>GlobeNewswire</t>
        </is>
      </c>
      <c r="D51" s="8" t="inlineStr">
        <is>
          <t>https://www.globenewswire.com/news-release/2026/01/27/3226083/0/en/epidarex-capital-announces-first-close-of-fund-iv-securing-145-million.html</t>
        </is>
      </c>
      <c r="E51" s="7" t="inlineStr">
        <is>
          <t>2026-10-05</t>
        </is>
      </c>
    </row>
    <row r="52">
      <c r="A52" s="7" t="inlineStr">
        <is>
          <t>Duke Capital Partners</t>
        </is>
      </c>
      <c r="B52" s="8" t="inlineStr">
        <is>
          <t>Duke-affiliated early-stage; $500K-$2M</t>
        </is>
      </c>
      <c r="C52" s="7" t="inlineStr">
        <is>
          <t>Duke Capital Partners</t>
        </is>
      </c>
      <c r="D52" s="8" t="inlineStr">
        <is>
          <t>https://dukecapitalpartners.duke.edu/about/</t>
        </is>
      </c>
      <c r="E52" s="7" t="inlineStr">
        <is>
          <t>2026-10-05</t>
        </is>
      </c>
    </row>
    <row r="53">
      <c r="A53" s="7" t="inlineStr">
        <is>
          <t>Lifespan Vision Ventures</t>
        </is>
      </c>
      <c r="B53" s="8" t="inlineStr">
        <is>
          <t>Co-led Sift Biosciences $3.7M pre-seed</t>
        </is>
      </c>
      <c r="C53" s="7" t="inlineStr">
        <is>
          <t>Yahoo Finance</t>
        </is>
      </c>
      <c r="D53" s="8" t="inlineStr">
        <is>
          <t>https://finance.yahoo.com/news/lifespan-vision-ventures-co-leads-170000649.html</t>
        </is>
      </c>
      <c r="E53" s="7" t="inlineStr">
        <is>
          <t>2026-10-05</t>
        </is>
      </c>
    </row>
    <row r="54">
      <c r="A54" s="7" t="inlineStr">
        <is>
          <t>Criteria Bio Ventures</t>
        </is>
      </c>
      <c r="B54" s="8" t="inlineStr">
        <is>
          <t>Led Adaptam Therapeutics EUR3M (therapeutics)</t>
        </is>
      </c>
      <c r="C54" s="7" t="inlineStr">
        <is>
          <t>Capital Riesgo</t>
        </is>
      </c>
      <c r="D54" s="8" t="inlineStr">
        <is>
          <t>https://capital-riesgo.es/en/articles/criteria-bio-ventures-leads-a-3-million-investment-in-adaptam-therapeutics/</t>
        </is>
      </c>
      <c r="E54" s="7" t="inlineStr">
        <is>
          <t>2026-10-05</t>
        </is>
      </c>
    </row>
    <row r="55">
      <c r="A55" s="7" t="inlineStr">
        <is>
          <t>NYSERDA</t>
        </is>
      </c>
      <c r="B55" s="8" t="inlineStr">
        <is>
          <t>NY State cleantech grants/co-investment</t>
        </is>
      </c>
      <c r="C55" s="7" t="inlineStr">
        <is>
          <t>NYSERDA</t>
        </is>
      </c>
      <c r="D55" s="8" t="inlineStr">
        <is>
          <t>https://www.nyserda.ny.gov/All-Programs/Innovation-at-NYSERDA</t>
        </is>
      </c>
      <c r="E55" s="7" t="inlineStr">
        <is>
          <t>2026-10-05</t>
        </is>
      </c>
    </row>
    <row r="56">
      <c r="A56" s="7" t="inlineStr">
        <is>
          <t>Perceptive Xontogeny Ventures</t>
        </is>
      </c>
      <c r="B56" s="8" t="inlineStr">
        <is>
          <t>Fund II $515M May 2021 (therapeutics)</t>
        </is>
      </c>
      <c r="C56" s="7" t="inlineStr">
        <is>
          <t>Xontogeny</t>
        </is>
      </c>
      <c r="D56" s="8" t="inlineStr">
        <is>
          <t>https://xontogeny.com/news/perceptive-advisors-closes-515-million-perceptive-xontogeny-venture-fund-ii-lp/</t>
        </is>
      </c>
      <c r="E56" s="7" t="inlineStr">
        <is>
          <t>2026-10-05</t>
        </is>
      </c>
    </row>
    <row r="57">
      <c r="A57" s="7" t="inlineStr">
        <is>
          <t>Abingworth</t>
        </is>
      </c>
      <c r="B57" s="8" t="inlineStr">
        <is>
          <t>Bioventures 8 ~$466M (therapeutics)</t>
        </is>
      </c>
      <c r="C57" s="7" t="inlineStr">
        <is>
          <t>Abingworth</t>
        </is>
      </c>
      <c r="D57" s="8" t="inlineStr">
        <is>
          <t>https://www.abingworth.com/about</t>
        </is>
      </c>
      <c r="E57" s="7" t="inlineStr">
        <is>
          <t>2026-10-05</t>
        </is>
      </c>
    </row>
    <row r="58">
      <c r="A58" s="7" t="inlineStr">
        <is>
          <t>3M Ventures</t>
        </is>
      </c>
      <c r="B58" s="8" t="inlineStr">
        <is>
          <t>Industrial/climate/materials CVC</t>
        </is>
      </c>
      <c r="C58" s="7" t="inlineStr">
        <is>
          <t>3M Ventures</t>
        </is>
      </c>
      <c r="D58" s="8" t="inlineStr">
        <is>
          <t>https://www.3m.com/3M/en_US/about-3m/ventures/</t>
        </is>
      </c>
      <c r="E58" s="7" t="inlineStr">
        <is>
          <t>2026-10-05</t>
        </is>
      </c>
    </row>
    <row r="59">
      <c r="A59" s="7" t="inlineStr">
        <is>
          <t>At One Ventures</t>
        </is>
      </c>
      <c r="B59" s="8" t="inlineStr">
        <is>
          <t>~$525M climate/nature deep-tech AUM</t>
        </is>
      </c>
      <c r="C59" s="7" t="inlineStr">
        <is>
          <t>ImpactAlpha</t>
        </is>
      </c>
      <c r="D59" s="8" t="inlineStr">
        <is>
          <t>https://impactalpha.com/at-one-ventures-closes-375-million-deeptech-climate-fund/</t>
        </is>
      </c>
      <c r="E59" s="7" t="inlineStr">
        <is>
          <t>2026-10-05</t>
        </is>
      </c>
    </row>
    <row r="60">
      <c r="A60" s="7" t="inlineStr">
        <is>
          <t>Oncology Ventures</t>
        </is>
      </c>
      <c r="B60" s="8" t="inlineStr">
        <is>
          <t>$30M cancer-focused seed fund; non-drug mandate</t>
        </is>
      </c>
      <c r="C60" s="7" t="inlineStr">
        <is>
          <t>HC Innovation Group</t>
        </is>
      </c>
      <c r="D60" s="8" t="inlineStr">
        <is>
          <t>https://www.hcinnovationgroup.com/finance-revenue-cycle/news/55136523/oncology-focused-venture-capital-firm-closes-30m-fund</t>
        </is>
      </c>
      <c r="E60" s="7" t="inlineStr">
        <is>
          <t>2026-10-05</t>
        </is>
      </c>
    </row>
    <row r="61">
      <c r="A61" s="7" t="inlineStr">
        <is>
          <t>Oncology Ventures</t>
        </is>
      </c>
      <c r="B61" s="8" t="inlineStr">
        <is>
          <t>Ben Freeberg MP, CONNECTED contact</t>
        </is>
      </c>
      <c r="C61" s="7" t="inlineStr">
        <is>
          <t>HubSpot CRM</t>
        </is>
      </c>
      <c r="D61" s="8" t="inlineStr">
        <is>
          <t>HubSpot company 330285638360 / contact 508812255971</t>
        </is>
      </c>
      <c r="E61" s="7" t="inlineStr">
        <is>
          <t>2026-10-05</t>
        </is>
      </c>
    </row>
    <row r="62">
      <c r="A62" s="7" t="inlineStr">
        <is>
          <t>Silversmith Capital Partners</t>
        </is>
      </c>
      <c r="B62" s="8" t="inlineStr">
        <is>
          <t>Fund V $1.7B Jul 2025; $20-125M checks; healthcare-IT book</t>
        </is>
      </c>
      <c r="C62" s="7" t="inlineStr">
        <is>
          <t>Silversmith</t>
        </is>
      </c>
      <c r="D62" s="8" t="inlineStr">
        <is>
          <t>https://www.silversmith.com/news/silversmith-capital-partners-closes-1-7-billion-fifth-fund</t>
        </is>
      </c>
      <c r="E62" s="7" t="inlineStr">
        <is>
          <t>2026-10-05</t>
        </is>
      </c>
    </row>
    <row r="63">
      <c r="A63" s="7" t="inlineStr">
        <is>
          <t>Care Equity</t>
        </is>
      </c>
      <c r="B63" s="8" t="inlineStr">
        <is>
          <t>Care Equity II $302M Oct 2022; life-science PE</t>
        </is>
      </c>
      <c r="C63" s="7" t="inlineStr">
        <is>
          <t>PitchBook</t>
        </is>
      </c>
      <c r="D63" s="8" t="inlineStr">
        <is>
          <t>https://pitchbook.com/profiles/investor/458093-80</t>
        </is>
      </c>
      <c r="E63" s="7" t="inlineStr">
        <is>
          <t>2026-10-05</t>
        </is>
      </c>
    </row>
    <row r="64">
      <c r="A64" s="7" t="inlineStr">
        <is>
          <t>Care Equity</t>
        </is>
      </c>
      <c r="B64" s="8" t="inlineStr">
        <is>
          <t>Sofia Etlin CRM contact</t>
        </is>
      </c>
      <c r="C64" s="7" t="inlineStr">
        <is>
          <t>HubSpot CRM</t>
        </is>
      </c>
      <c r="D64" s="8" t="inlineStr">
        <is>
          <t>HubSpot company 348445133500 / contact 558213895894</t>
        </is>
      </c>
      <c r="E64" s="7" t="inlineStr">
        <is>
          <t>2026-10-05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2026-10-05T05:50:20Z</dcterms:created>
  <dcterms:modified xmlns:dcterms="http://purl.org/dc/terms/" xmlns:xsi="http://www.w3.org/2001/XMLSchema-instance" xsi:type="dcterms:W3CDTF">2026-10-05T05:50:20Z</dcterms:modified>
</cp:coreProperties>
</file>