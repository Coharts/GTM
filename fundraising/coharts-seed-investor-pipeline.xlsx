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Pipeline" sheetId="2" state="visible" r:id="rId2"/>
    <sheet name="Weights" sheetId="3" state="visible" r:id="rId3"/>
    <sheet name="Sources" sheetId="4" state="visible" r:id="rId4"/>
  </sheets>
  <definedNames>
    <definedName name="_xlnm._FilterDatabase" localSheetId="1" hidden="1">'Pipeline'!$A$1:$AD$22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b val="1"/>
      <color rgb="00FFFFFF"/>
      <sz val="10"/>
    </font>
    <font>
      <name val="Arial"/>
      <color rgb="000000FF"/>
      <sz val="10"/>
    </font>
    <font>
      <name val="Arial"/>
      <i val="1"/>
      <sz val="9"/>
    </font>
  </fonts>
  <fills count="4">
    <fill>
      <patternFill/>
    </fill>
    <fill>
      <patternFill patternType="gray125"/>
    </fill>
    <fill>
      <patternFill patternType="solid">
        <fgColor rgb="00EDE9FE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4" fillId="2" borderId="0" pivotButton="0" quotePrefix="0" xfId="0"/>
    <xf numFmtId="0" fontId="0" fillId="2" borderId="0" pivotButton="0" quotePrefix="0" xfId="0"/>
    <xf numFmtId="0" fontId="5" fillId="3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/>
    </xf>
    <xf numFmtId="0" fontId="5" fillId="3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96" customWidth="1" min="2" max="2"/>
  </cols>
  <sheetData>
    <row r="1">
      <c r="A1" s="1" t="inlineStr">
        <is>
          <t>Coharts Seed: institutional investor pipeline</t>
        </is>
      </c>
    </row>
    <row r="3">
      <c r="A3" s="2" t="inlineStr">
        <is>
          <t>Generated</t>
        </is>
      </c>
      <c r="B3" s="3" t="inlineStr">
        <is>
          <t>2026-09-30</t>
        </is>
      </c>
    </row>
    <row r="4">
      <c r="A4" s="2" t="inlineStr">
        <is>
          <t>Firms in this workbook</t>
        </is>
      </c>
      <c r="B4" s="3" t="inlineStr">
        <is>
          <t>21</t>
        </is>
      </c>
    </row>
    <row r="5">
      <c r="A5" s="2" t="inlineStr">
        <is>
          <t>Round parameters</t>
        </is>
      </c>
      <c r="B5" s="3" t="inlineStr">
        <is>
          <t>Institutional Seed; target pre-money $25M to $35M (confirm target raise and lead vs participant). Coharts: An Applied AI company, IaaS (never SaaS). Two products: iViz (AI data-analysis workbench, self-serve/PLG) and Foresight (clinical trial simulation, Simulate Success Before Patient One). Foresight validated against real clinical trials both retrospectively and prospectively (multiple validations). Angel round closed Aug 2026 on a legacy pre-money SAFE at a $17.5M cap. Check sizes below are Unknown pending PitchBook; all personal emails are inferred, not verified. None of these firms are in the HubSpot pipeline (CRM holds pharma/CRO/biotech BD accounts, not investors).</t>
        </is>
      </c>
    </row>
    <row r="6">
      <c r="A6" s="2" t="inlineStr">
        <is>
          <t>Prepared by</t>
        </is>
      </c>
      <c r="B6" s="3" t="inlineStr">
        <is>
          <t>Coharts</t>
        </is>
      </c>
    </row>
    <row r="8">
      <c r="A8" s="4" t="inlineStr">
        <is>
          <t>How to use this workbook</t>
        </is>
      </c>
      <c r="B8" s="5" t="n"/>
    </row>
    <row r="9">
      <c r="A9" s="2" t="inlineStr">
        <is>
          <t>Pipeline</t>
        </is>
      </c>
      <c r="B9" s="3" t="inlineStr">
        <is>
          <t>One row per firm. Sort or filter on Fit score and Tier. Blue cells are inputs you can edit, black cells are calculated.</t>
        </is>
      </c>
    </row>
    <row r="10">
      <c r="A10" s="2" t="inlineStr">
        <is>
          <t>Weights</t>
        </is>
      </c>
      <c r="B10" s="3" t="inlineStr">
        <is>
          <t>Change a weight or a tier threshold and every Fit score and Tier recalculates. Weights should total 100.</t>
        </is>
      </c>
    </row>
    <row r="11">
      <c r="A11" s="2" t="inlineStr">
        <is>
          <t>Sources</t>
        </is>
      </c>
      <c r="B11" s="3" t="inlineStr">
        <is>
          <t>One row per claim, so any cell in Pipeline can be traced to the page that supports it.</t>
        </is>
      </c>
    </row>
    <row r="13">
      <c r="A13" s="4" t="inlineStr">
        <is>
          <t>Scoring</t>
        </is>
      </c>
      <c r="B13" s="5" t="n"/>
    </row>
    <row r="14">
      <c r="A14" s="2" t="inlineStr">
        <is>
          <t>Method</t>
        </is>
      </c>
      <c r="B14" s="3" t="inlineStr">
        <is>
          <t>Six dimensions scored 0 to 5, weighted to a 0 to 100 Fit score, less a conflict penalty. Tier A at 70 and above, B from 50 to 69, C below 50.</t>
        </is>
      </c>
    </row>
    <row r="15">
      <c r="A15" s="2" t="inlineStr">
        <is>
          <t>Conflict flag</t>
        </is>
      </c>
      <c r="B15" s="3" t="inlineStr">
        <is>
          <t>Set to 1 when the firm holds a company competing directly with Foresight CDI, iViz, or PRISM. The named company goes in Conflict detail.</t>
        </is>
      </c>
    </row>
    <row r="17">
      <c r="A17" s="4" t="inlineStr">
        <is>
          <t>Evidence rules</t>
        </is>
      </c>
      <c r="B17" s="5" t="n"/>
    </row>
    <row r="18">
      <c r="A18" s="2" t="inlineStr">
        <is>
          <t>Unknown is a real value</t>
        </is>
      </c>
      <c r="B18" s="3" t="inlineStr">
        <is>
          <t>An empty or Unknown cell means no source supported the claim. It is not a gap to be filled in from inference.</t>
        </is>
      </c>
    </row>
    <row r="19">
      <c r="A19" s="2" t="inlineStr">
        <is>
          <t>Every row is dated</t>
        </is>
      </c>
      <c r="B19" s="3" t="inlineStr">
        <is>
          <t>Fund sizes, partner rosters, and theses go stale. Re-verify before reusing a row in a later cycle.</t>
        </is>
      </c>
    </row>
    <row r="20">
      <c r="A20" s="2" t="inlineStr">
        <is>
          <t>People</t>
        </is>
      </c>
      <c r="B20" s="3" t="inlineStr">
        <is>
          <t>Partner names and titles come from the firm's own site, a paid data record, or a dated press item. Nowhere else.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24" customWidth="1" min="4" max="4"/>
    <col width="20" customWidth="1" min="5" max="5"/>
    <col width="16" customWidth="1" min="6" max="6"/>
    <col width="12" customWidth="1" min="7" max="7"/>
    <col width="14" customWidth="1" min="8" max="8"/>
    <col width="44" customWidth="1" min="9" max="9"/>
    <col width="44" customWidth="1" min="10" max="10"/>
    <col width="30" customWidth="1" min="11" max="11"/>
    <col width="12" customWidth="1" min="12" max="12"/>
    <col width="30" customWidth="1" min="13" max="13"/>
    <col width="20" customWidth="1" min="14" max="14"/>
    <col width="22" customWidth="1" min="15" max="15"/>
    <col width="34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1" customWidth="1" min="23" max="23"/>
    <col width="8" customWidth="1" min="24" max="24"/>
    <col width="16" customWidth="1" min="25" max="25"/>
    <col width="14" customWidth="1" min="26" max="26"/>
    <col width="30" customWidth="1" min="27" max="27"/>
    <col width="16" customWidth="1" min="28" max="28"/>
    <col width="40" customWidth="1" min="29" max="29"/>
    <col width="40" customWidth="1" min="30" max="30"/>
  </cols>
  <sheetData>
    <row r="1" ht="32" customHeight="1">
      <c r="A1" s="6" t="inlineStr">
        <is>
          <t>Firm</t>
        </is>
      </c>
      <c r="B1" s="6" t="inlineStr">
        <is>
          <t>Firm type</t>
        </is>
      </c>
      <c r="C1" s="6" t="inlineStr">
        <is>
          <t>HQ</t>
        </is>
      </c>
      <c r="D1" s="6" t="inlineStr">
        <is>
          <t>Latest fund (size, vintage)</t>
        </is>
      </c>
      <c r="E1" s="6" t="inlineStr">
        <is>
          <t>Stage focus</t>
        </is>
      </c>
      <c r="F1" s="6" t="inlineStr">
        <is>
          <t>Typical check</t>
        </is>
      </c>
      <c r="G1" s="6" t="inlineStr">
        <is>
          <t>Leads seed?</t>
        </is>
      </c>
      <c r="H1" s="6" t="inlineStr">
        <is>
          <t>Already in pipeline?</t>
        </is>
      </c>
      <c r="I1" s="6" t="inlineStr">
        <is>
          <t>Life science evidence</t>
        </is>
      </c>
      <c r="J1" s="6" t="inlineStr">
        <is>
          <t>Applied AI evidence</t>
        </is>
      </c>
      <c r="K1" s="6" t="inlineStr">
        <is>
          <t>Closest portfolio comps</t>
        </is>
      </c>
      <c r="L1" s="6" t="inlineStr">
        <is>
          <t>Conflict flag (0/1)</t>
        </is>
      </c>
      <c r="M1" s="6" t="inlineStr">
        <is>
          <t>Conflict detail</t>
        </is>
      </c>
      <c r="N1" s="6" t="inlineStr">
        <is>
          <t>Contact name</t>
        </is>
      </c>
      <c r="O1" s="6" t="inlineStr">
        <is>
          <t>Contact title</t>
        </is>
      </c>
      <c r="P1" s="6" t="inlineStr">
        <is>
          <t>Warm path</t>
        </is>
      </c>
      <c r="Q1" s="6" t="inlineStr">
        <is>
          <t>Life science score (0-5)</t>
        </is>
      </c>
      <c r="R1" s="6" t="inlineStr">
        <is>
          <t>Applied AI score (0-5)</t>
        </is>
      </c>
      <c r="S1" s="6" t="inlineStr">
        <is>
          <t>Stage score (0-5)</t>
        </is>
      </c>
      <c r="T1" s="6" t="inlineStr">
        <is>
          <t>Check size score (0-5)</t>
        </is>
      </c>
      <c r="U1" s="6" t="inlineStr">
        <is>
          <t>Warm path score (0-5)</t>
        </is>
      </c>
      <c r="V1" s="6" t="inlineStr">
        <is>
          <t>Activity score (0-5)</t>
        </is>
      </c>
      <c r="W1" s="6" t="inlineStr">
        <is>
          <t>Fit score</t>
        </is>
      </c>
      <c r="X1" s="6" t="inlineStr">
        <is>
          <t>Tier</t>
        </is>
      </c>
      <c r="Y1" s="6" t="inlineStr">
        <is>
          <t>Status</t>
        </is>
      </c>
      <c r="Z1" s="6" t="inlineStr">
        <is>
          <t>Owner</t>
        </is>
      </c>
      <c r="AA1" s="6" t="inlineStr">
        <is>
          <t>Next action</t>
        </is>
      </c>
      <c r="AB1" s="6" t="inlineStr">
        <is>
          <t>Last verified (YYYY-MM-DD)</t>
        </is>
      </c>
      <c r="AC1" s="6" t="inlineStr">
        <is>
          <t>Source URLs</t>
        </is>
      </c>
      <c r="AD1" s="6" t="inlineStr">
        <is>
          <t>Notes</t>
        </is>
      </c>
    </row>
    <row r="2">
      <c r="A2" s="7" t="inlineStr">
        <is>
          <t>Dimension Capital</t>
        </is>
      </c>
      <c r="B2" s="7" t="inlineStr">
        <is>
          <t>TechBio seed/early fund</t>
        </is>
      </c>
      <c r="C2" s="7" t="inlineStr">
        <is>
          <t>San Francisco / New York</t>
        </is>
      </c>
      <c r="D2" s="8" t="inlineStr">
        <is>
          <t>Fund III, $800M, closed Jul 2026 ($1.65B AUM)</t>
        </is>
      </c>
      <c r="E2" s="8" t="inlineStr">
        <is>
          <t>Seed and Series A, leads, life science x compute</t>
        </is>
      </c>
      <c r="F2" s="7" t="inlineStr">
        <is>
          <t>Unknown</t>
        </is>
      </c>
      <c r="G2" s="7" t="inlineStr">
        <is>
          <t>Yes</t>
        </is>
      </c>
      <c r="H2" s="7" t="inlineStr">
        <is>
          <t>No</t>
        </is>
      </c>
      <c r="I2" s="8" t="inlineStr">
        <is>
          <t>Purpose-built for the life science x compute/AI intersection. Co-led $30M seed in Chai Discovery (AI drug-design models, 2024). Multiple computational-bio holdings.</t>
        </is>
      </c>
      <c r="J2" s="8" t="inlineStr">
        <is>
          <t>Explicit thesis that science and compute are converging; partners publish on TechBio/AI. Portfolio is AI-native.</t>
        </is>
      </c>
      <c r="K2" s="8" t="inlineStr">
        <is>
          <t>Chai Discovery (AI drug design, not a direct Foresight competitor).</t>
        </is>
      </c>
      <c r="L2" s="9" t="n">
        <v>0</v>
      </c>
      <c r="M2" s="8" t="inlineStr">
        <is>
          <t>Unknown</t>
        </is>
      </c>
      <c r="N2" s="7" t="inlineStr">
        <is>
          <t>Zavain Dar</t>
        </is>
      </c>
      <c r="O2" s="7" t="inlineStr">
        <is>
          <t>Co-Founder and Managing Partner</t>
        </is>
      </c>
      <c r="P2" s="8" t="inlineStr">
        <is>
          <t>Plausible via a Chai Discovery founder or shared tech-bio operator; no named node confirmed yet.</t>
        </is>
      </c>
      <c r="Q2" s="9" t="n">
        <v>5</v>
      </c>
      <c r="R2" s="9" t="n">
        <v>5</v>
      </c>
      <c r="S2" s="9" t="n">
        <v>5</v>
      </c>
      <c r="T2" s="9" t="n">
        <v>0</v>
      </c>
      <c r="U2" s="9" t="n">
        <v>2</v>
      </c>
      <c r="V2" s="9" t="n">
        <v>5</v>
      </c>
      <c r="W2" s="10">
        <f>MAX(0,ROUND(Q2/5*Weights!$B$3+R2/5*Weights!$B$4+S2/5*Weights!$B$5+T2/5*Weights!$B$6+U2/5*Weights!$B$7+V2/5*Weights!$B$8-L2*Weights!$B$9,0))</f>
        <v>84</v>
      </c>
      <c r="X2" s="10" t="str">
        <f>IF(W2&gt;=Weights!$B$12,"A",IF(W2&gt;=Weights!$B$13,"B","C"))</f>
        <v>A</v>
      </c>
      <c r="Y2" s="11" t="inlineStr">
        <is>
          <t>Not contacted</t>
        </is>
      </c>
      <c r="Z2" s="7" t="inlineStr">
        <is>
          <t>Nate</t>
        </is>
      </c>
      <c r="AA2" s="8" t="inlineStr">
        <is>
          <t>Map a named warm intro to Zavain Dar; confirm seed check band.</t>
        </is>
      </c>
      <c r="AB2" s="7" t="inlineStr">
        <is>
          <t>2026-09-30</t>
        </is>
      </c>
      <c r="AC2" s="8" t="inlineStr">
        <is>
          <t>https://techcrunch.com/2026/07/21/dimension-capitals-800m-third-fund-shows-the-intersection-of-science-and-compute-is-booming/; https://www.dimensioncap.com/</t>
        </is>
      </c>
      <c r="AD2" s="8" t="inlineStr">
        <is>
          <t>Highest-fit fund. Contact email inferred/unverified; firm general inbox contact@dimensioncap.com is verified. Do not confuse with Florida 'Dimension Capital Management'.</t>
        </is>
      </c>
    </row>
    <row r="3">
      <c r="A3" s="7" t="inlineStr">
        <is>
          <t>a16z Bio + Health</t>
        </is>
      </c>
      <c r="B3" s="7" t="inlineStr">
        <is>
          <t>Multistage platform, bio+health fund</t>
        </is>
      </c>
      <c r="C3" s="7" t="inlineStr">
        <is>
          <t>Menlo Park, CA</t>
        </is>
      </c>
      <c r="D3" s="8" t="inlineStr">
        <is>
          <t>Bio+Health funds active (size/vintage not re-verified)</t>
        </is>
      </c>
      <c r="E3" s="8" t="inlineStr">
        <is>
          <t>Seed to growth in AI-in-healthcare software; selective at seed</t>
        </is>
      </c>
      <c r="F3" s="7" t="inlineStr">
        <is>
          <t>Unknown</t>
        </is>
      </c>
      <c r="G3" s="7" t="inlineStr">
        <is>
          <t>Selective</t>
        </is>
      </c>
      <c r="H3" s="7" t="inlineStr">
        <is>
          <t>No</t>
        </is>
      </c>
      <c r="I3" s="8" t="inlineStr">
        <is>
          <t>Dedicated bio+health practice investing in AI-native healthcare/life-science software. Portfolio includes Hippocratic AI, Turquoise Health.</t>
        </is>
      </c>
      <c r="J3" s="8" t="inlineStr">
        <is>
          <t>Published AI-in-healthcare theses (2026); the broader a16z applied-AI franchise sits alongside.</t>
        </is>
      </c>
      <c r="K3" s="8" t="inlineStr">
        <is>
          <t>Hippocratic AI (clinical AI, not trial simulation).</t>
        </is>
      </c>
      <c r="L3" s="9" t="n">
        <v>0</v>
      </c>
      <c r="M3" s="8" t="inlineStr">
        <is>
          <t>Unknown</t>
        </is>
      </c>
      <c r="N3" s="7" t="inlineStr">
        <is>
          <t>Julie Yoo</t>
        </is>
      </c>
      <c r="O3" s="7" t="inlineStr">
        <is>
          <t>General Partner (alt: Jay Rughani, Partner)</t>
        </is>
      </c>
      <c r="P3" s="8" t="inlineStr">
        <is>
          <t>Route via an a16z bio+health portfolio founder; no named node confirmed.</t>
        </is>
      </c>
      <c r="Q3" s="9" t="n">
        <v>5</v>
      </c>
      <c r="R3" s="9" t="n">
        <v>5</v>
      </c>
      <c r="S3" s="9" t="n">
        <v>4</v>
      </c>
      <c r="T3" s="9" t="n">
        <v>0</v>
      </c>
      <c r="U3" s="9" t="n">
        <v>2</v>
      </c>
      <c r="V3" s="9" t="n">
        <v>5</v>
      </c>
      <c r="W3" s="10">
        <f>MAX(0,ROUND(Q3/5*Weights!$B$3+R3/5*Weights!$B$4+S3/5*Weights!$B$5+T3/5*Weights!$B$6+U3/5*Weights!$B$7+V3/5*Weights!$B$8-L3*Weights!$B$9,0))</f>
        <v>80</v>
      </c>
      <c r="X3" s="10" t="str">
        <f>IF(W3&gt;=Weights!$B$12,"A",IF(W3&gt;=Weights!$B$13,"B","C"))</f>
        <v>A</v>
      </c>
      <c r="Y3" s="11" t="inlineStr">
        <is>
          <t>Not contacted</t>
        </is>
      </c>
      <c r="Z3" s="7" t="inlineStr">
        <is>
          <t>Nate</t>
        </is>
      </c>
      <c r="AA3" s="8" t="inlineStr">
        <is>
          <t>Find a portfolio-founder intro to Yoo (software lens) or Rughani (AI-health).</t>
        </is>
      </c>
      <c r="AB3" s="7" t="inlineStr">
        <is>
          <t>2026-09-30</t>
        </is>
      </c>
      <c r="AC3" s="8" t="inlineStr">
        <is>
          <t>https://a16z.com/infinite-healthcare-whats-it-worth/; https://a16z.com/author/julie-yoo/</t>
        </is>
      </c>
      <c r="AD3" s="8" t="inlineStr">
        <is>
          <t>Emails inferred/unverified: julie@a16z.com (~55%) or jyoo@a16z.com (~62%).</t>
        </is>
      </c>
    </row>
    <row r="4">
      <c r="A4" s="7" t="inlineStr">
        <is>
          <t>Section 32</t>
        </is>
      </c>
      <c r="B4" s="7" t="inlineStr">
        <is>
          <t>Frontier tech + healthcare fund</t>
        </is>
      </c>
      <c r="C4" s="7" t="inlineStr">
        <is>
          <t>San Diego / Bay Area</t>
        </is>
      </c>
      <c r="D4" s="8" t="inlineStr">
        <is>
          <t>Active (fund size/vintage not re-verified)</t>
        </is>
      </c>
      <c r="E4" s="8" t="inlineStr">
        <is>
          <t>Seed onward across healthcare/life-sciences and frontier tech</t>
        </is>
      </c>
      <c r="F4" s="7" t="inlineStr">
        <is>
          <t>Unknown</t>
        </is>
      </c>
      <c r="G4" s="7" t="inlineStr">
        <is>
          <t>Selective</t>
        </is>
      </c>
      <c r="H4" s="7" t="inlineStr">
        <is>
          <t>No</t>
        </is>
      </c>
      <c r="I4" s="8" t="inlineStr">
        <is>
          <t>Healthcare/dx/life-sciences core; portfolio includes Freenome and precision-medicine companies. MP ran Foundation Medicine.</t>
        </is>
      </c>
      <c r="J4" s="8" t="inlineStr">
        <is>
          <t>AI + healthcare/data across the portfolio; named focus with evidence.</t>
        </is>
      </c>
      <c r="K4" s="8" t="inlineStr">
        <is>
          <t>Freenome (dx/AI, not a direct Foresight competitor).</t>
        </is>
      </c>
      <c r="L4" s="9" t="n">
        <v>0</v>
      </c>
      <c r="M4" s="8" t="inlineStr">
        <is>
          <t>Unknown</t>
        </is>
      </c>
      <c r="N4" s="7" t="inlineStr">
        <is>
          <t>Michael Pellini, MD</t>
        </is>
      </c>
      <c r="O4" s="7" t="inlineStr">
        <is>
          <t>Managing Partner</t>
        </is>
      </c>
      <c r="P4" s="8" t="inlineStr">
        <is>
          <t>Intro via a Foundation Medicine or Freenome alumnus; no named node confirmed.</t>
        </is>
      </c>
      <c r="Q4" s="9" t="n">
        <v>5</v>
      </c>
      <c r="R4" s="9" t="n">
        <v>4</v>
      </c>
      <c r="S4" s="9" t="n">
        <v>4</v>
      </c>
      <c r="T4" s="9" t="n">
        <v>0</v>
      </c>
      <c r="U4" s="9" t="n">
        <v>2</v>
      </c>
      <c r="V4" s="9" t="n">
        <v>4</v>
      </c>
      <c r="W4" s="10">
        <f>MAX(0,ROUND(Q4/5*Weights!$B$3+R4/5*Weights!$B$4+S4/5*Weights!$B$5+T4/5*Weights!$B$6+U4/5*Weights!$B$7+V4/5*Weights!$B$8-L4*Weights!$B$9,0))</f>
        <v>74</v>
      </c>
      <c r="X4" s="10" t="str">
        <f>IF(W4&gt;=Weights!$B$12,"A",IF(W4&gt;=Weights!$B$13,"B","C"))</f>
        <v>A</v>
      </c>
      <c r="Y4" s="11" t="inlineStr">
        <is>
          <t>Not contacted</t>
        </is>
      </c>
      <c r="Z4" s="7" t="inlineStr">
        <is>
          <t>Nate</t>
        </is>
      </c>
      <c r="AA4" s="8" t="inlineStr">
        <is>
          <t>Confirm a fresh 2025-26 deal to reference; find FMI/Freenome intro.</t>
        </is>
      </c>
      <c r="AB4" s="7" t="inlineStr">
        <is>
          <t>2026-09-30</t>
        </is>
      </c>
      <c r="AC4" s="8" t="inlineStr">
        <is>
          <t>https://www.crunchbase.com/person/michael-j-pellini; https://www.linkedin.com/in/michael-pellini-57a1b919/</t>
        </is>
      </c>
      <c r="AD4" s="8" t="inlineStr">
        <is>
          <t>Email inferred/unverified: michael@section32.com (~72%). Domain is section32.com.</t>
        </is>
      </c>
    </row>
    <row r="5">
      <c r="A5" s="7" t="inlineStr">
        <is>
          <t>Lux Capital</t>
        </is>
      </c>
      <c r="B5" s="7" t="inlineStr">
        <is>
          <t>Frontier science + tech fund</t>
        </is>
      </c>
      <c r="C5" s="7" t="inlineStr">
        <is>
          <t>New York / Menlo Park</t>
        </is>
      </c>
      <c r="D5" s="8" t="inlineStr">
        <is>
          <t>Active flagship (size/vintage not re-verified)</t>
        </is>
      </c>
      <c r="E5" s="8" t="inlineStr">
        <is>
          <t>Seed to early growth; frontier science and AI infra</t>
        </is>
      </c>
      <c r="F5" s="7" t="inlineStr">
        <is>
          <t>Unknown</t>
        </is>
      </c>
      <c r="G5" s="7" t="inlineStr">
        <is>
          <t>Yes</t>
        </is>
      </c>
      <c r="H5" s="7" t="inlineStr">
        <is>
          <t>No</t>
        </is>
      </c>
      <c r="I5" s="8" t="inlineStr">
        <is>
          <t>Frontier science + tech with a health/AI-infra bench. Shakir focuses on digital-health infrastructure and AI-health.</t>
        </is>
      </c>
      <c r="J5" s="8" t="inlineStr">
        <is>
          <t>Strong applied-AI and data-infra practice plus a published frontier-tech thesis; portfolio follows.</t>
        </is>
      </c>
      <c r="K5" s="8" t="inlineStr">
        <is>
          <t>None competing directly with Foresight/iViz identified.</t>
        </is>
      </c>
      <c r="L5" s="9" t="n">
        <v>0</v>
      </c>
      <c r="M5" s="8" t="inlineStr">
        <is>
          <t>Unknown</t>
        </is>
      </c>
      <c r="N5" s="7" t="inlineStr">
        <is>
          <t>Deena Shakir</t>
        </is>
      </c>
      <c r="O5" s="7" t="inlineStr">
        <is>
          <t>General Partner</t>
        </is>
      </c>
      <c r="P5" s="8" t="inlineStr">
        <is>
          <t>LinkedIn or a Lux portfolio founder; no named node confirmed.</t>
        </is>
      </c>
      <c r="Q5" s="9" t="n">
        <v>5</v>
      </c>
      <c r="R5" s="9" t="n">
        <v>5</v>
      </c>
      <c r="S5" s="9" t="n">
        <v>4</v>
      </c>
      <c r="T5" s="9" t="n">
        <v>0</v>
      </c>
      <c r="U5" s="9" t="n">
        <v>2</v>
      </c>
      <c r="V5" s="9" t="n">
        <v>4</v>
      </c>
      <c r="W5" s="10">
        <f>MAX(0,ROUND(Q5/5*Weights!$B$3+R5/5*Weights!$B$4+S5/5*Weights!$B$5+T5/5*Weights!$B$6+U5/5*Weights!$B$7+V5/5*Weights!$B$8-L5*Weights!$B$9,0))</f>
        <v>78</v>
      </c>
      <c r="X5" s="10" t="str">
        <f>IF(W5&gt;=Weights!$B$12,"A",IF(W5&gt;=Weights!$B$13,"B","C"))</f>
        <v>A</v>
      </c>
      <c r="Y5" s="11" t="inlineStr">
        <is>
          <t>Not contacted</t>
        </is>
      </c>
      <c r="Z5" s="7" t="inlineStr">
        <is>
          <t>Nate</t>
        </is>
      </c>
      <c r="AA5" s="8" t="inlineStr">
        <is>
          <t>Verify a recent Shakir health/AI deal; find intro.</t>
        </is>
      </c>
      <c r="AB5" s="7" t="inlineStr">
        <is>
          <t>2026-09-30</t>
        </is>
      </c>
      <c r="AC5" s="8" t="inlineStr">
        <is>
          <t>https://www.luxcapital.com/people; https://www.linkedin.com/in/deenashakir</t>
        </is>
      </c>
      <c r="AD5" s="8" t="inlineStr">
        <is>
          <t>Adam Goulburn is at Dimension, NOT Lux. Email inferred/unverified: deena.shakir@luxcapital.com (pattern first.last ~90%).</t>
        </is>
      </c>
    </row>
    <row r="6">
      <c r="A6" s="7" t="inlineStr">
        <is>
          <t>Foresite Capital</t>
        </is>
      </c>
      <c r="B6" s="7" t="inlineStr">
        <is>
          <t>Healthcare + life-science infrastructure fund</t>
        </is>
      </c>
      <c r="C6" s="7" t="inlineStr">
        <is>
          <t>San Francisco, CA</t>
        </is>
      </c>
      <c r="D6" s="8" t="inlineStr">
        <is>
          <t>Fund VI, $900M, closed Jun 2024</t>
        </is>
      </c>
      <c r="E6" s="8" t="inlineStr">
        <is>
          <t>Seed to growth; precision medicine and LS infrastructure</t>
        </is>
      </c>
      <c r="F6" s="7" t="inlineStr">
        <is>
          <t>Unknown</t>
        </is>
      </c>
      <c r="G6" s="7" t="inlineStr">
        <is>
          <t>Selective</t>
        </is>
      </c>
      <c r="H6" s="7" t="inlineStr">
        <is>
          <t>No</t>
        </is>
      </c>
      <c r="I6" s="8" t="inlineStr">
        <is>
          <t>Precision medicine + LS infrastructure; co-led ~$1B Xaira Therapeutics (Apr 2024). Foresite Labs incubates data-driven health companies.</t>
        </is>
      </c>
      <c r="J6" s="8" t="inlineStr">
        <is>
          <t>ML/genetics-native; Bajaj is a data-science MD/PhD (ex-Verily/Grail). More bio than pure applied-AI.</t>
        </is>
      </c>
      <c r="K6" s="8" t="inlineStr">
        <is>
          <t>Xaira (AI drug discovery, not clinical trial simulation).</t>
        </is>
      </c>
      <c r="L6" s="9" t="n">
        <v>0</v>
      </c>
      <c r="M6" s="8" t="inlineStr">
        <is>
          <t>Unknown</t>
        </is>
      </c>
      <c r="N6" s="7" t="inlineStr">
        <is>
          <t>Vik Bajaj, PhD</t>
        </is>
      </c>
      <c r="O6" s="7" t="inlineStr">
        <is>
          <t>Managing Director; Co-Founder/CEO Foresite Labs</t>
        </is>
      </c>
      <c r="P6" s="8" t="inlineStr">
        <is>
          <t>Foresite Labs network; no named node confirmed.</t>
        </is>
      </c>
      <c r="Q6" s="9" t="n">
        <v>5</v>
      </c>
      <c r="R6" s="9" t="n">
        <v>4</v>
      </c>
      <c r="S6" s="9" t="n">
        <v>3</v>
      </c>
      <c r="T6" s="9" t="n">
        <v>0</v>
      </c>
      <c r="U6" s="9" t="n">
        <v>2</v>
      </c>
      <c r="V6" s="9" t="n">
        <v>5</v>
      </c>
      <c r="W6" s="10">
        <f>MAX(0,ROUND(Q6/5*Weights!$B$3+R6/5*Weights!$B$4+S6/5*Weights!$B$5+T6/5*Weights!$B$6+U6/5*Weights!$B$7+V6/5*Weights!$B$8-L6*Weights!$B$9,0))</f>
        <v>72</v>
      </c>
      <c r="X6" s="10" t="str">
        <f>IF(W6&gt;=Weights!$B$12,"A",IF(W6&gt;=Weights!$B$13,"B","C"))</f>
        <v>A</v>
      </c>
      <c r="Y6" s="11" t="inlineStr">
        <is>
          <t>Not contacted</t>
        </is>
      </c>
      <c r="Z6" s="7" t="inlineStr">
        <is>
          <t>Nate</t>
        </is>
      </c>
      <c r="AA6" s="8" t="inlineStr">
        <is>
          <t>Confirm email local-part (vik vs vikram); find Labs intro.</t>
        </is>
      </c>
      <c r="AB6" s="7" t="inlineStr">
        <is>
          <t>2026-09-30</t>
        </is>
      </c>
      <c r="AC6" s="8" t="inlineStr">
        <is>
          <t>https://www.biopharmadive.com/news/foresite-950-million-fund-vi-venture-capital/718617/; https://www.foresitecapital.com/</t>
        </is>
      </c>
      <c r="AD6" s="8" t="inlineStr">
        <is>
          <t>Email inferred/unverified: vik.bajaj@foresitecapital.com (~68%); vik vs vikram ambiguous.</t>
        </is>
      </c>
    </row>
    <row r="7">
      <c r="A7" s="7" t="inlineStr">
        <is>
          <t>Khosla Ventures</t>
        </is>
      </c>
      <c r="B7" s="7" t="inlineStr">
        <is>
          <t>Multistage, AI-forward fund</t>
        </is>
      </c>
      <c r="C7" s="7" t="inlineStr">
        <is>
          <t>Menlo Park, CA</t>
        </is>
      </c>
      <c r="D7" s="8" t="inlineStr">
        <is>
          <t>Active (size/vintage not re-verified)</t>
        </is>
      </c>
      <c r="E7" s="8" t="inlineStr">
        <is>
          <t>Seed to growth; AI-forward, seed-friendly</t>
        </is>
      </c>
      <c r="F7" s="7" t="inlineStr">
        <is>
          <t>Unknown</t>
        </is>
      </c>
      <c r="G7" s="7" t="inlineStr">
        <is>
          <t>Yes</t>
        </is>
      </c>
      <c r="H7" s="7" t="inlineStr">
        <is>
          <t>No</t>
        </is>
      </c>
      <c r="I7" s="8" t="inlineStr">
        <is>
          <t>Bio + healthcare investing with a physician-scientist partner; led $50M Series B in Rad AI (2024).</t>
        </is>
      </c>
      <c r="J7" s="8" t="inlineStr">
        <is>
          <t>AI-forward across the firm; deep applied-AI portfolio.</t>
        </is>
      </c>
      <c r="K7" s="8" t="inlineStr">
        <is>
          <t>Rad AI (radiology AI, not trial simulation).</t>
        </is>
      </c>
      <c r="L7" s="9" t="n">
        <v>0</v>
      </c>
      <c r="M7" s="8" t="inlineStr">
        <is>
          <t>Unknown</t>
        </is>
      </c>
      <c r="N7" s="7" t="inlineStr">
        <is>
          <t>Alex Morgan, MD/PhD</t>
        </is>
      </c>
      <c r="O7" s="7" t="inlineStr">
        <is>
          <t>Partner</t>
        </is>
      </c>
      <c r="P7" s="8" t="inlineStr">
        <is>
          <t>LinkedIn or portfolio founder; no named node confirmed.</t>
        </is>
      </c>
      <c r="Q7" s="9" t="n">
        <v>4</v>
      </c>
      <c r="R7" s="9" t="n">
        <v>5</v>
      </c>
      <c r="S7" s="9" t="n">
        <v>4</v>
      </c>
      <c r="T7" s="9" t="n">
        <v>0</v>
      </c>
      <c r="U7" s="9" t="n">
        <v>2</v>
      </c>
      <c r="V7" s="9" t="n">
        <v>4</v>
      </c>
      <c r="W7" s="10">
        <f>MAX(0,ROUND(Q7/5*Weights!$B$3+R7/5*Weights!$B$4+S7/5*Weights!$B$5+T7/5*Weights!$B$6+U7/5*Weights!$B$7+V7/5*Weights!$B$8-L7*Weights!$B$9,0))</f>
        <v>72</v>
      </c>
      <c r="X7" s="10" t="str">
        <f>IF(W7&gt;=Weights!$B$12,"A",IF(W7&gt;=Weights!$B$13,"B","C"))</f>
        <v>A</v>
      </c>
      <c r="Y7" s="11" t="inlineStr">
        <is>
          <t>Not contacted</t>
        </is>
      </c>
      <c r="Z7" s="7" t="inlineStr">
        <is>
          <t>Nate</t>
        </is>
      </c>
      <c r="AA7" s="8" t="inlineStr">
        <is>
          <t>Verify email (am@ vs alex@); find intro.</t>
        </is>
      </c>
      <c r="AB7" s="7" t="inlineStr">
        <is>
          <t>2026-09-30</t>
        </is>
      </c>
      <c r="AC7" s="8" t="inlineStr">
        <is>
          <t>https://www.radai.com/news/rad-ai-closes-50-million-to-empower-physicians-with-ai; https://www.khoslaventures.com/team/alex-morgan</t>
        </is>
      </c>
      <c r="AD7" s="8" t="inlineStr">
        <is>
          <t>Email inferred/unverified: am@khoslaventures.com (~61%) or alex@khoslaventures.com.</t>
        </is>
      </c>
    </row>
    <row r="8">
      <c r="A8" s="7" t="inlineStr">
        <is>
          <t>DCVC Bio</t>
        </is>
      </c>
      <c r="B8" s="7" t="inlineStr">
        <is>
          <t>Computational-bio fund</t>
        </is>
      </c>
      <c r="C8" s="7" t="inlineStr">
        <is>
          <t>Palo Alto, CA</t>
        </is>
      </c>
      <c r="D8" s="8" t="inlineStr">
        <is>
          <t>DCVC Bio III, ~$700M+, 2024</t>
        </is>
      </c>
      <c r="E8" s="8" t="inlineStr">
        <is>
          <t>Seed to early; computational biology (therapeutics-leaning)</t>
        </is>
      </c>
      <c r="F8" s="7" t="inlineStr">
        <is>
          <t>Unknown</t>
        </is>
      </c>
      <c r="G8" s="7" t="inlineStr">
        <is>
          <t>Selective</t>
        </is>
      </c>
      <c r="H8" s="7" t="inlineStr">
        <is>
          <t>No</t>
        </is>
      </c>
      <c r="I8" s="8" t="inlineStr">
        <is>
          <t>Computational/data-driven biology across drug development. Recent deals (Sidewinder, Radionetics, Latus Bio) lean therapeutics/deep-tech, not clinical software.</t>
        </is>
      </c>
      <c r="J8" s="8" t="inlineStr">
        <is>
          <t>Data/AI-native at the platform level; DCVC core (non-Bio) fund does more AI/data software.</t>
        </is>
      </c>
      <c r="K8" s="8" t="inlineStr">
        <is>
          <t>None competing directly with Foresight/iViz identified.</t>
        </is>
      </c>
      <c r="L8" s="9" t="n">
        <v>0</v>
      </c>
      <c r="M8" s="8" t="inlineStr">
        <is>
          <t>Unknown</t>
        </is>
      </c>
      <c r="N8" s="7" t="inlineStr">
        <is>
          <t>Kiersten Stead</t>
        </is>
      </c>
      <c r="O8" s="7" t="inlineStr">
        <is>
          <t>Managing Partner, DCVC Bio</t>
        </is>
      </c>
      <c r="P8" s="8" t="inlineStr">
        <is>
          <t>LinkedIn; consider a DCVC core partner for the software angle. No named node.</t>
        </is>
      </c>
      <c r="Q8" s="9" t="n">
        <v>5</v>
      </c>
      <c r="R8" s="9" t="n">
        <v>4</v>
      </c>
      <c r="S8" s="9" t="n">
        <v>3</v>
      </c>
      <c r="T8" s="9" t="n">
        <v>0</v>
      </c>
      <c r="U8" s="9" t="n">
        <v>2</v>
      </c>
      <c r="V8" s="9" t="n">
        <v>4</v>
      </c>
      <c r="W8" s="10">
        <f>MAX(0,ROUND(Q8/5*Weights!$B$3+R8/5*Weights!$B$4+S8/5*Weights!$B$5+T8/5*Weights!$B$6+U8/5*Weights!$B$7+V8/5*Weights!$B$8-L8*Weights!$B$9,0))</f>
        <v>70</v>
      </c>
      <c r="X8" s="10" t="str">
        <f>IF(W8&gt;=Weights!$B$12,"A",IF(W8&gt;=Weights!$B$13,"B","C"))</f>
        <v>A</v>
      </c>
      <c r="Y8" s="11" t="inlineStr">
        <is>
          <t>Not contacted</t>
        </is>
      </c>
      <c r="Z8" s="7" t="inlineStr">
        <is>
          <t>Nate</t>
        </is>
      </c>
      <c r="AA8" s="8" t="inlineStr">
        <is>
          <t>Decide Bio vs core-fund partner; verify email.</t>
        </is>
      </c>
      <c r="AB8" s="7" t="inlineStr">
        <is>
          <t>2026-09-30</t>
        </is>
      </c>
      <c r="AC8" s="8" t="inlineStr">
        <is>
          <t>https://vcwire.tech/2024/10/01/dcvc-closes-over-700m-in-new-funds/; https://www.dcvc.com/team/kiersten-stead/</t>
        </is>
      </c>
      <c r="AD8" s="8" t="inlineStr">
        <is>
          <t>Borderline Tier A; therapeutics lean makes a software seed less certain. Email inferred: kiersten@dcvc.com or kiersten.stead@dcvc.com.</t>
        </is>
      </c>
    </row>
    <row r="9">
      <c r="A9" s="7" t="inlineStr">
        <is>
          <t>Menlo Ventures</t>
        </is>
      </c>
      <c r="B9" s="7" t="inlineStr">
        <is>
          <t>Multistage fund with bio+healthcare practice</t>
        </is>
      </c>
      <c r="C9" s="7" t="inlineStr">
        <is>
          <t>Menlo Park, CA</t>
        </is>
      </c>
      <c r="D9" s="8" t="inlineStr">
        <is>
          <t>Active flagship + Anthology (size/vintage not re-verified)</t>
        </is>
      </c>
      <c r="E9" s="8" t="inlineStr">
        <is>
          <t>Seed to growth; leads Series A/B more than seed</t>
        </is>
      </c>
      <c r="F9" s="7" t="inlineStr">
        <is>
          <t>Unknown</t>
        </is>
      </c>
      <c r="G9" s="7" t="inlineStr">
        <is>
          <t>Selective</t>
        </is>
      </c>
      <c r="H9" s="7" t="inlineStr">
        <is>
          <t>No</t>
        </is>
      </c>
      <c r="I9" s="8" t="inlineStr">
        <is>
          <t>Dedicated Bio+Healthcare practice; led $70M Series A in Chai Discovery (AI molecular design, 2025).</t>
        </is>
      </c>
      <c r="J9" s="8" t="inlineStr">
        <is>
          <t>Major AI thesis (early Anthropic backer); strong AI-native portfolio.</t>
        </is>
      </c>
      <c r="K9" s="8" t="inlineStr">
        <is>
          <t>Chai Discovery (AI drug design, not trial simulation).</t>
        </is>
      </c>
      <c r="L9" s="9" t="n">
        <v>0</v>
      </c>
      <c r="M9" s="8" t="inlineStr">
        <is>
          <t>Unknown</t>
        </is>
      </c>
      <c r="N9" s="7" t="inlineStr">
        <is>
          <t>Greg Yap</t>
        </is>
      </c>
      <c r="O9" s="7" t="inlineStr">
        <is>
          <t>Partner (life-science tech, digital health)</t>
        </is>
      </c>
      <c r="P9" s="8" t="inlineStr">
        <is>
          <t>Menlo LS portfolio CEO; no named node confirmed.</t>
        </is>
      </c>
      <c r="Q9" s="9" t="n">
        <v>4</v>
      </c>
      <c r="R9" s="9" t="n">
        <v>5</v>
      </c>
      <c r="S9" s="9" t="n">
        <v>3</v>
      </c>
      <c r="T9" s="9" t="n">
        <v>0</v>
      </c>
      <c r="U9" s="9" t="n">
        <v>2</v>
      </c>
      <c r="V9" s="9" t="n">
        <v>4</v>
      </c>
      <c r="W9" s="10">
        <f>MAX(0,ROUND(Q9/5*Weights!$B$3+R9/5*Weights!$B$4+S9/5*Weights!$B$5+T9/5*Weights!$B$6+U9/5*Weights!$B$7+V9/5*Weights!$B$8-L9*Weights!$B$9,0))</f>
        <v>68</v>
      </c>
      <c r="X9" s="10" t="str">
        <f>IF(W9&gt;=Weights!$B$12,"A",IF(W9&gt;=Weights!$B$13,"B","C"))</f>
        <v>B</v>
      </c>
      <c r="Y9" s="11" t="inlineStr">
        <is>
          <t>Not contacted</t>
        </is>
      </c>
      <c r="Z9" s="7" t="inlineStr">
        <is>
          <t>Nate</t>
        </is>
      </c>
      <c r="AA9" s="8" t="inlineStr">
        <is>
          <t>Confirm seed appetite (they lean A); find intro to Yap.</t>
        </is>
      </c>
      <c r="AB9" s="7" t="inlineStr">
        <is>
          <t>2026-09-30</t>
        </is>
      </c>
      <c r="AC9" s="8" t="inlineStr">
        <is>
          <t>https://www.pharmexec.com/view/menlo-ventures-led-70-million-series-a-fundraiser-chai-discovery-transform-molecular-design; https://menlovc.com/team/greg-yap/</t>
        </is>
      </c>
      <c r="AD9" s="8" t="inlineStr">
        <is>
          <t>Email inferred/unverified: greg@menlovc.com (~79%).</t>
        </is>
      </c>
    </row>
    <row r="10">
      <c r="A10" s="7" t="inlineStr">
        <is>
          <t>8VC</t>
        </is>
      </c>
      <c r="B10" s="7" t="inlineStr">
        <is>
          <t>Tech + life-sciences fund</t>
        </is>
      </c>
      <c r="C10" s="7" t="inlineStr">
        <is>
          <t>Austin / San Francisco</t>
        </is>
      </c>
      <c r="D10" s="8" t="inlineStr">
        <is>
          <t>Active multistage (size/vintage not re-verified)</t>
        </is>
      </c>
      <c r="E10" s="8" t="inlineStr">
        <is>
          <t>Pre-seed to Series A, leads; healthcare-data infrastructure</t>
        </is>
      </c>
      <c r="F10" s="7" t="inlineStr">
        <is>
          <t>Unknown</t>
        </is>
      </c>
      <c r="G10" s="7" t="inlineStr">
        <is>
          <t>Yes</t>
        </is>
      </c>
      <c r="H10" s="7" t="inlineStr">
        <is>
          <t>No</t>
        </is>
      </c>
      <c r="I10" s="8" t="inlineStr">
        <is>
          <t>Healthcare data-infrastructure and health-IT thesis; comfortable with enterprise health SaaS mapping to Coharts pharma/CRO buyers.</t>
        </is>
      </c>
      <c r="J10" s="8" t="inlineStr">
        <is>
          <t>AI named focus with portfolio evidence, not a pure AI-thesis fund.</t>
        </is>
      </c>
      <c r="K10" s="8" t="inlineStr">
        <is>
          <t>None competing directly with Foresight/iViz identified.</t>
        </is>
      </c>
      <c r="L10" s="9" t="n">
        <v>0</v>
      </c>
      <c r="M10" s="8" t="inlineStr">
        <is>
          <t>Unknown</t>
        </is>
      </c>
      <c r="N10" s="7" t="inlineStr">
        <is>
          <t>Kimmy Scotti</t>
        </is>
      </c>
      <c r="O10" s="7" t="inlineStr">
        <is>
          <t>Founding Partner (healthcare)</t>
        </is>
      </c>
      <c r="P10" s="8" t="inlineStr">
        <is>
          <t>LinkedIn or portfolio founder; no named node confirmed.</t>
        </is>
      </c>
      <c r="Q10" s="9" t="n">
        <v>4</v>
      </c>
      <c r="R10" s="9" t="n">
        <v>3</v>
      </c>
      <c r="S10" s="9" t="n">
        <v>4</v>
      </c>
      <c r="T10" s="9" t="n">
        <v>0</v>
      </c>
      <c r="U10" s="9" t="n">
        <v>2</v>
      </c>
      <c r="V10" s="9" t="n">
        <v>4</v>
      </c>
      <c r="W10" s="10">
        <f>MAX(0,ROUND(Q10/5*Weights!$B$3+R10/5*Weights!$B$4+S10/5*Weights!$B$5+T10/5*Weights!$B$6+U10/5*Weights!$B$7+V10/5*Weights!$B$8-L10*Weights!$B$9,0))</f>
        <v>64</v>
      </c>
      <c r="X10" s="10" t="str">
        <f>IF(W10&gt;=Weights!$B$12,"A",IF(W10&gt;=Weights!$B$13,"B","C"))</f>
        <v>B</v>
      </c>
      <c r="Y10" s="11" t="inlineStr">
        <is>
          <t>Not contacted</t>
        </is>
      </c>
      <c r="Z10" s="7" t="inlineStr">
        <is>
          <t>Nate</t>
        </is>
      </c>
      <c r="AA10" s="8" t="inlineStr">
        <is>
          <t>Confirm a fresh clinical-software deal; verify email.</t>
        </is>
      </c>
      <c r="AB10" s="7" t="inlineStr">
        <is>
          <t>2026-09-30</t>
        </is>
      </c>
      <c r="AC10" s="8" t="inlineStr">
        <is>
          <t>https://signal.nfx.com/investors/kimmy-scotti; https://8vc.com/contact</t>
        </is>
      </c>
      <c r="AD10" s="8" t="inlineStr">
        <is>
          <t>Email inferred/unverified: kimmy@8vc.com (~76%). For enterprise clinical-data, 8VC bio team may co-fit.</t>
        </is>
      </c>
    </row>
    <row r="11">
      <c r="A11" s="7" t="inlineStr">
        <is>
          <t>GV (Google Ventures)</t>
        </is>
      </c>
      <c r="B11" s="7" t="inlineStr">
        <is>
          <t>Corporate multistage fund</t>
        </is>
      </c>
      <c r="C11" s="7" t="inlineStr">
        <is>
          <t>Mountain View, CA</t>
        </is>
      </c>
      <c r="D11" s="8" t="inlineStr">
        <is>
          <t>Evergreen (Alphabet-backed)</t>
        </is>
      </c>
      <c r="E11" s="8" t="inlineStr">
        <is>
          <t>Seed to growth; life sciences and health co-led</t>
        </is>
      </c>
      <c r="F11" s="7" t="inlineStr">
        <is>
          <t>Unknown</t>
        </is>
      </c>
      <c r="G11" s="7" t="inlineStr">
        <is>
          <t>Selective</t>
        </is>
      </c>
      <c r="H11" s="7" t="inlineStr">
        <is>
          <t>No</t>
        </is>
      </c>
      <c r="I11" s="8" t="inlineStr">
        <is>
          <t>Physician-CS GP co-leads a deep life-sciences group; digital health, diagnostics, AI-in-healthcare (Flatiron, Verve incubation history).</t>
        </is>
      </c>
      <c r="J11" s="8" t="inlineStr">
        <is>
          <t>AI is a named focus with portfolio evidence across the firm.</t>
        </is>
      </c>
      <c r="K11" s="8" t="inlineStr">
        <is>
          <t>None competing directly with Foresight/iViz identified.</t>
        </is>
      </c>
      <c r="L11" s="9" t="n">
        <v>0</v>
      </c>
      <c r="M11" s="8" t="inlineStr">
        <is>
          <t>Unknown</t>
        </is>
      </c>
      <c r="N11" s="7" t="inlineStr">
        <is>
          <t>Krishna Yeshwant, MD</t>
        </is>
      </c>
      <c r="O11" s="7" t="inlineStr">
        <is>
          <t>Managing Partner / co-lead Life Sciences</t>
        </is>
      </c>
      <c r="P11" s="8" t="inlineStr">
        <is>
          <t>Portfolio founder or LinkedIn; no named node confirmed.</t>
        </is>
      </c>
      <c r="Q11" s="9" t="n">
        <v>5</v>
      </c>
      <c r="R11" s="9" t="n">
        <v>3</v>
      </c>
      <c r="S11" s="9" t="n">
        <v>3</v>
      </c>
      <c r="T11" s="9" t="n">
        <v>0</v>
      </c>
      <c r="U11" s="9" t="n">
        <v>2</v>
      </c>
      <c r="V11" s="9" t="n">
        <v>4</v>
      </c>
      <c r="W11" s="10">
        <f>MAX(0,ROUND(Q11/5*Weights!$B$3+R11/5*Weights!$B$4+S11/5*Weights!$B$5+T11/5*Weights!$B$6+U11/5*Weights!$B$7+V11/5*Weights!$B$8-L11*Weights!$B$9,0))</f>
        <v>66</v>
      </c>
      <c r="X11" s="10" t="str">
        <f>IF(W11&gt;=Weights!$B$12,"A",IF(W11&gt;=Weights!$B$13,"B","C"))</f>
        <v>B</v>
      </c>
      <c r="Y11" s="11" t="inlineStr">
        <is>
          <t>Not contacted</t>
        </is>
      </c>
      <c r="Z11" s="7" t="inlineStr">
        <is>
          <t>Nate</t>
        </is>
      </c>
      <c r="AA11" s="8" t="inlineStr">
        <is>
          <t>Pull a 2025-26 LS deal to reference; verify email.</t>
        </is>
      </c>
      <c r="AB11" s="7" t="inlineStr">
        <is>
          <t>2026-09-30</t>
        </is>
      </c>
      <c r="AC11" s="8" t="inlineStr">
        <is>
          <t>https://www.gv.com/team/krishna-yeshwant; https://www.linkedin.com/in/kcyeshwant/</t>
        </is>
      </c>
      <c r="AD11" s="8" t="inlineStr">
        <is>
          <t>Email inferred/unverified and low-confidence: krishna@gv.com (pattern first@ only ~37%, 8 formats).</t>
        </is>
      </c>
    </row>
    <row r="12">
      <c r="A12" s="7" t="inlineStr">
        <is>
          <t>Breyer Capital</t>
        </is>
      </c>
      <c r="B12" s="7" t="inlineStr">
        <is>
          <t>Multistage fund building HC/LS practice</t>
        </is>
      </c>
      <c r="C12" s="7" t="inlineStr">
        <is>
          <t>Austin / Menlo Park</t>
        </is>
      </c>
      <c r="D12" s="8" t="inlineStr">
        <is>
          <t>Active (size/vintage not re-verified)</t>
        </is>
      </c>
      <c r="E12" s="8" t="inlineStr">
        <is>
          <t>Early-stage biomedical + AI; new healthcare mandate</t>
        </is>
      </c>
      <c r="F12" s="7" t="inlineStr">
        <is>
          <t>Unknown</t>
        </is>
      </c>
      <c r="G12" s="7" t="inlineStr">
        <is>
          <t>Selective</t>
        </is>
      </c>
      <c r="H12" s="7" t="inlineStr">
        <is>
          <t>No</t>
        </is>
      </c>
      <c r="I12" s="8" t="inlineStr">
        <is>
          <t>New, well-capitalized HC/LS mandate. Cheatham (hired Apr 2025) sourced Abridge and Hinge Health at Bessemer.</t>
        </is>
      </c>
      <c r="J12" s="8" t="inlineStr">
        <is>
          <t>Breyer is a longtime AI investor; Cheatham drives a healthcare-AI thesis.</t>
        </is>
      </c>
      <c r="K12" s="8" t="inlineStr">
        <is>
          <t>None competing directly with Foresight/iViz identified.</t>
        </is>
      </c>
      <c r="L12" s="9" t="n">
        <v>0</v>
      </c>
      <c r="M12" s="8" t="inlineStr">
        <is>
          <t>Unknown</t>
        </is>
      </c>
      <c r="N12" s="7" t="inlineStr">
        <is>
          <t>Morgan Cheatham, MD</t>
        </is>
      </c>
      <c r="O12" s="7" t="inlineStr">
        <is>
          <t>Partner and Head of Healthcare and Life Sciences</t>
        </is>
      </c>
      <c r="P12" s="8" t="inlineStr">
        <is>
          <t>LinkedIn; Cheatham runs public healthcare content, an engagement warm-up. No named node.</t>
        </is>
      </c>
      <c r="Q12" s="9" t="n">
        <v>3</v>
      </c>
      <c r="R12" s="9" t="n">
        <v>4</v>
      </c>
      <c r="S12" s="9" t="n">
        <v>3</v>
      </c>
      <c r="T12" s="9" t="n">
        <v>0</v>
      </c>
      <c r="U12" s="9" t="n">
        <v>2</v>
      </c>
      <c r="V12" s="9" t="n">
        <v>4</v>
      </c>
      <c r="W12" s="10">
        <f>MAX(0,ROUND(Q12/5*Weights!$B$3+R12/5*Weights!$B$4+S12/5*Weights!$B$5+T12/5*Weights!$B$6+U12/5*Weights!$B$7+V12/5*Weights!$B$8-L12*Weights!$B$9,0))</f>
        <v>58</v>
      </c>
      <c r="X12" s="10" t="str">
        <f>IF(W12&gt;=Weights!$B$12,"A",IF(W12&gt;=Weights!$B$13,"B","C"))</f>
        <v>B</v>
      </c>
      <c r="Y12" s="11" t="inlineStr">
        <is>
          <t>Not contacted</t>
        </is>
      </c>
      <c r="Z12" s="7" t="inlineStr">
        <is>
          <t>Nate</t>
        </is>
      </c>
      <c r="AA12" s="8" t="inlineStr">
        <is>
          <t>Verify email via LinkedIn; confirm HC/LS check appetite.</t>
        </is>
      </c>
      <c r="AB12" s="7" t="inlineStr">
        <is>
          <t>2026-09-30</t>
        </is>
      </c>
      <c r="AC12" s="8" t="inlineStr">
        <is>
          <t>https://www.forbes.com/sites/sindhyavalloppillil/2025/04/24/billionaire-vc-jim-breyer-taps-morgan-cheatham-to-drive-the-future-of-healthcare-and-life-sciences/; https://www.linkedin.com/in/morgancheatham/</t>
        </is>
      </c>
      <c r="AD12" s="8" t="inlineStr">
        <is>
          <t>Cheatham left Bessemer (Apr 2025). Email pattern unconfirmed; use LinkedIn.</t>
        </is>
      </c>
    </row>
    <row r="13">
      <c r="A13" s="7" t="inlineStr">
        <is>
          <t>Obvious Ventures</t>
        </is>
      </c>
      <c r="B13" s="7" t="inlineStr">
        <is>
          <t>Seed/early world-positive fund</t>
        </is>
      </c>
      <c r="C13" s="7" t="inlineStr">
        <is>
          <t>San Francisco, CA</t>
        </is>
      </c>
      <c r="D13" s="8" t="inlineStr">
        <is>
          <t>Fund V, $360M, closed Jan 2026</t>
        </is>
      </c>
      <c r="E13" s="8" t="inlineStr">
        <is>
          <t>Seed and Series A, leads; $5M to $12M checks</t>
        </is>
      </c>
      <c r="F13" s="7" t="inlineStr">
        <is>
          <t>$5M to $12M (per firm materials; confirm)</t>
        </is>
      </c>
      <c r="G13" s="7" t="inlineStr">
        <is>
          <t>Yes</t>
        </is>
      </c>
      <c r="H13" s="7" t="inlineStr">
        <is>
          <t>No</t>
        </is>
      </c>
      <c r="I13" s="8" t="inlineStr">
        <is>
          <t>Human-health theme with some bio/science holdings; not a dedicated bio fund.</t>
        </is>
      </c>
      <c r="J13" s="8" t="inlineStr">
        <is>
          <t>Responsible-AI theme with portfolio evidence.</t>
        </is>
      </c>
      <c r="K13" s="8" t="inlineStr">
        <is>
          <t>None competing directly with Foresight/iViz identified.</t>
        </is>
      </c>
      <c r="L13" s="9" t="n">
        <v>0</v>
      </c>
      <c r="M13" s="8" t="inlineStr">
        <is>
          <t>Unknown</t>
        </is>
      </c>
      <c r="N13" s="7" t="inlineStr">
        <is>
          <t>James Joaquin</t>
        </is>
      </c>
      <c r="O13" s="7" t="inlineStr">
        <is>
          <t>Co-Founder and Managing Director</t>
        </is>
      </c>
      <c r="P13" s="8" t="inlineStr">
        <is>
          <t>LinkedIn or portfolio founder; no named node confirmed.</t>
        </is>
      </c>
      <c r="Q13" s="9" t="n">
        <v>3</v>
      </c>
      <c r="R13" s="9" t="n">
        <v>3</v>
      </c>
      <c r="S13" s="9" t="n">
        <v>4</v>
      </c>
      <c r="T13" s="9" t="n">
        <v>3</v>
      </c>
      <c r="U13" s="9" t="n">
        <v>2</v>
      </c>
      <c r="V13" s="9" t="n">
        <v>5</v>
      </c>
      <c r="W13" s="10">
        <f>MAX(0,ROUND(Q13/5*Weights!$B$3+R13/5*Weights!$B$4+S13/5*Weights!$B$5+T13/5*Weights!$B$6+U13/5*Weights!$B$7+V13/5*Weights!$B$8-L13*Weights!$B$9,0))</f>
        <v>66</v>
      </c>
      <c r="X13" s="10" t="str">
        <f>IF(W13&gt;=Weights!$B$12,"A",IF(W13&gt;=Weights!$B$13,"B","C"))</f>
        <v>B</v>
      </c>
      <c r="Y13" s="11" t="inlineStr">
        <is>
          <t>Not contacted</t>
        </is>
      </c>
      <c r="Z13" s="7" t="inlineStr">
        <is>
          <t>Nate</t>
        </is>
      </c>
      <c r="AA13" s="8" t="inlineStr">
        <is>
          <t>Verify email; confirm health-software recency.</t>
        </is>
      </c>
      <c r="AB13" s="7" t="inlineStr">
        <is>
          <t>2026-09-30</t>
        </is>
      </c>
      <c r="AC13" s="8" t="inlineStr">
        <is>
          <t>https://obvious.com/team/james-joaquin/; https://www.linkedin.com/in/jamesjoaquin</t>
        </is>
      </c>
      <c r="AD13" s="8" t="inlineStr">
        <is>
          <t>Check-size band published by the firm, so scored 3 rather than 0. Email inferred/unverified: james@obvious.com.</t>
        </is>
      </c>
    </row>
    <row r="14">
      <c r="A14" s="7" t="inlineStr">
        <is>
          <t>Zetta Venture Partners</t>
        </is>
      </c>
      <c r="B14" s="7" t="inlineStr">
        <is>
          <t>AI-first seed fund</t>
        </is>
      </c>
      <c r="C14" s="7" t="inlineStr">
        <is>
          <t>San Francisco, CA</t>
        </is>
      </c>
      <c r="D14" s="8" t="inlineStr">
        <is>
          <t>~$180M fund (vintage not re-verified)</t>
        </is>
      </c>
      <c r="E14" s="8" t="inlineStr">
        <is>
          <t>Pre-seed and Seed, leads; AI-first B2B</t>
        </is>
      </c>
      <c r="F14" s="7" t="inlineStr">
        <is>
          <t>Unknown</t>
        </is>
      </c>
      <c r="G14" s="7" t="inlineStr">
        <is>
          <t>Yes</t>
        </is>
      </c>
      <c r="H14" s="7" t="inlineStr">
        <is>
          <t>No</t>
        </is>
      </c>
      <c r="I14" s="8" t="inlineStr">
        <is>
          <t>AI-first generalist; health exposure via VideaHealth ($40M, Jan 2025). Not a dedicated bio fund.</t>
        </is>
      </c>
      <c r="J14" s="8" t="inlineStr">
        <is>
          <t>Explicit AI-first thesis (first believers in AI); portfolio demonstrably follows. Ideal for iViz as an AI-native data product.</t>
        </is>
      </c>
      <c r="K14" s="8" t="inlineStr">
        <is>
          <t>None competing directly with Foresight/iViz identified.</t>
        </is>
      </c>
      <c r="L14" s="9" t="n">
        <v>0</v>
      </c>
      <c r="M14" s="8" t="inlineStr">
        <is>
          <t>Unknown</t>
        </is>
      </c>
      <c r="N14" s="7" t="inlineStr">
        <is>
          <t>Jocelyn Goldfein</t>
        </is>
      </c>
      <c r="O14" s="7" t="inlineStr">
        <is>
          <t>Managing Director / General Partner</t>
        </is>
      </c>
      <c r="P14" s="8" t="inlineStr">
        <is>
          <t>LinkedIn; no named node confirmed.</t>
        </is>
      </c>
      <c r="Q14" s="9" t="n">
        <v>2</v>
      </c>
      <c r="R14" s="9" t="n">
        <v>5</v>
      </c>
      <c r="S14" s="9" t="n">
        <v>5</v>
      </c>
      <c r="T14" s="9" t="n">
        <v>0</v>
      </c>
      <c r="U14" s="9" t="n">
        <v>2</v>
      </c>
      <c r="V14" s="9" t="n">
        <v>4</v>
      </c>
      <c r="W14" s="10">
        <f>MAX(0,ROUND(Q14/5*Weights!$B$3+R14/5*Weights!$B$4+S14/5*Weights!$B$5+T14/5*Weights!$B$6+U14/5*Weights!$B$7+V14/5*Weights!$B$8-L14*Weights!$B$9,0))</f>
        <v>64</v>
      </c>
      <c r="X14" s="10" t="str">
        <f>IF(W14&gt;=Weights!$B$12,"A",IF(W14&gt;=Weights!$B$13,"B","C"))</f>
        <v>B</v>
      </c>
      <c r="Y14" s="11" t="inlineStr">
        <is>
          <t>Not contacted</t>
        </is>
      </c>
      <c r="Z14" s="7" t="inlineStr">
        <is>
          <t>Nate</t>
        </is>
      </c>
      <c r="AA14" s="8" t="inlineStr">
        <is>
          <t>Lead with iViz AI-native architecture; verify email/pattern.</t>
        </is>
      </c>
      <c r="AB14" s="7" t="inlineStr">
        <is>
          <t>2026-09-30</t>
        </is>
      </c>
      <c r="AC14" s="8" t="inlineStr">
        <is>
          <t>https://www.zettavp.com/team; https://www.caplight.com/investor/zettavp</t>
        </is>
      </c>
      <c r="AD14" s="8" t="inlineStr">
        <is>
          <t>Email inferred/unverified, low confidence: jocelyn@zettavp.com (pattern unconfirmed).</t>
        </is>
      </c>
    </row>
    <row r="15">
      <c r="A15" s="7" t="inlineStr">
        <is>
          <t>Two Sigma Ventures</t>
        </is>
      </c>
      <c r="B15" s="7" t="inlineStr">
        <is>
          <t>Data-science / ML-first fund</t>
        </is>
      </c>
      <c r="C15" s="7" t="inlineStr">
        <is>
          <t>New York, NY</t>
        </is>
      </c>
      <c r="D15" s="8" t="inlineStr">
        <is>
          <t>Active (size/vintage not re-verified)</t>
        </is>
      </c>
      <c r="E15" s="8" t="inlineStr">
        <is>
          <t>Seed and Series A; data-intensive B2B</t>
        </is>
      </c>
      <c r="F15" s="7" t="inlineStr">
        <is>
          <t>Unknown</t>
        </is>
      </c>
      <c r="G15" s="7" t="inlineStr">
        <is>
          <t>Selective</t>
        </is>
      </c>
      <c r="H15" s="7" t="inlineStr">
        <is>
          <t>No</t>
        </is>
      </c>
      <c r="I15" s="8" t="inlineStr">
        <is>
          <t>Healthcare x data-science line; portfolio includes insitro (ML + life-science data).</t>
        </is>
      </c>
      <c r="J15" s="8" t="inlineStr">
        <is>
          <t>Data-science/ML-first thesis; AI-native across the portfolio. Strong iViz fit.</t>
        </is>
      </c>
      <c r="K15" s="8" t="inlineStr">
        <is>
          <t>insitro (ML drug discovery, not trial simulation).</t>
        </is>
      </c>
      <c r="L15" s="9" t="n">
        <v>0</v>
      </c>
      <c r="M15" s="8" t="inlineStr">
        <is>
          <t>Unknown</t>
        </is>
      </c>
      <c r="N15" s="7" t="inlineStr">
        <is>
          <t>Dusan Perovic</t>
        </is>
      </c>
      <c r="O15" s="7" t="inlineStr">
        <is>
          <t>Partner (verify still at firm)</t>
        </is>
      </c>
      <c r="P15" s="8" t="inlineStr">
        <is>
          <t>LinkedIn; no named node confirmed.</t>
        </is>
      </c>
      <c r="Q15" s="9" t="n">
        <v>3</v>
      </c>
      <c r="R15" s="9" t="n">
        <v>5</v>
      </c>
      <c r="S15" s="9" t="n">
        <v>4</v>
      </c>
      <c r="T15" s="9" t="n">
        <v>0</v>
      </c>
      <c r="U15" s="9" t="n">
        <v>2</v>
      </c>
      <c r="V15" s="9" t="n">
        <v>3</v>
      </c>
      <c r="W15" s="10">
        <f>MAX(0,ROUND(Q15/5*Weights!$B$3+R15/5*Weights!$B$4+S15/5*Weights!$B$5+T15/5*Weights!$B$6+U15/5*Weights!$B$7+V15/5*Weights!$B$8-L15*Weights!$B$9,0))</f>
        <v>64</v>
      </c>
      <c r="X15" s="10" t="str">
        <f>IF(W15&gt;=Weights!$B$12,"A",IF(W15&gt;=Weights!$B$13,"B","C"))</f>
        <v>B</v>
      </c>
      <c r="Y15" s="11" t="inlineStr">
        <is>
          <t>Not contacted</t>
        </is>
      </c>
      <c r="Z15" s="7" t="inlineStr">
        <is>
          <t>Nate</t>
        </is>
      </c>
      <c r="AA15" s="8" t="inlineStr">
        <is>
          <t>Confirm Perovic is current and covers this; verify email pattern.</t>
        </is>
      </c>
      <c r="AB15" s="7" t="inlineStr">
        <is>
          <t>2026-09-30</t>
        </is>
      </c>
      <c r="AC15" s="8" t="inlineStr">
        <is>
          <t>https://twosigmaventures.com/our-focus/</t>
        </is>
      </c>
      <c r="AD15" s="8" t="inlineStr">
        <is>
          <t>Partner and email pattern unconfirmed; likely first@twosigmaventures.com.</t>
        </is>
      </c>
    </row>
    <row r="16">
      <c r="A16" s="7" t="inlineStr">
        <is>
          <t>Bessemer Venture Partners</t>
        </is>
      </c>
      <c r="B16" s="7" t="inlineStr">
        <is>
          <t>Multistage fund with health-tech practice</t>
        </is>
      </c>
      <c r="C16" s="7" t="inlineStr">
        <is>
          <t>San Francisco / Cambridge</t>
        </is>
      </c>
      <c r="D16" s="8" t="inlineStr">
        <is>
          <t>Active large flagship (size/vintage not re-verified)</t>
        </is>
      </c>
      <c r="E16" s="8" t="inlineStr">
        <is>
          <t>Seed to growth; growth-heavy, does seed selectively</t>
        </is>
      </c>
      <c r="F16" s="7" t="inlineStr">
        <is>
          <t>Unknown</t>
        </is>
      </c>
      <c r="G16" s="7" t="inlineStr">
        <is>
          <t>Selective</t>
        </is>
      </c>
      <c r="H16" s="7" t="inlineStr">
        <is>
          <t>No</t>
        </is>
      </c>
      <c r="I16" s="8" t="inlineStr">
        <is>
          <t>Deep health-tech / vertical-SaaS practice; publishes a Healthcare AI Roadmap. Kraus authored the '10 Laws of Healthcare'.</t>
        </is>
      </c>
      <c r="J16" s="8" t="inlineStr">
        <is>
          <t>Applied-AI roadmap and AI-native investments; strong PLG expertise fits iViz self-serve.</t>
        </is>
      </c>
      <c r="K16" s="8" t="inlineStr">
        <is>
          <t>None competing directly with Foresight/iViz identified.</t>
        </is>
      </c>
      <c r="L16" s="9" t="n">
        <v>0</v>
      </c>
      <c r="M16" s="8" t="inlineStr">
        <is>
          <t>Unknown</t>
        </is>
      </c>
      <c r="N16" s="7" t="inlineStr">
        <is>
          <t>Steve Kraus</t>
        </is>
      </c>
      <c r="O16" s="7" t="inlineStr">
        <is>
          <t>Partner (healthcare)</t>
        </is>
      </c>
      <c r="P16" s="8" t="inlineStr">
        <is>
          <t>Kraus co-hosts healthcare content; engagement warm-up. No named node.</t>
        </is>
      </c>
      <c r="Q16" s="9" t="n">
        <v>4</v>
      </c>
      <c r="R16" s="9" t="n">
        <v>4</v>
      </c>
      <c r="S16" s="9" t="n">
        <v>3</v>
      </c>
      <c r="T16" s="9" t="n">
        <v>0</v>
      </c>
      <c r="U16" s="9" t="n">
        <v>2</v>
      </c>
      <c r="V16" s="9" t="n">
        <v>4</v>
      </c>
      <c r="W16" s="10">
        <f>MAX(0,ROUND(Q16/5*Weights!$B$3+R16/5*Weights!$B$4+S16/5*Weights!$B$5+T16/5*Weights!$B$6+U16/5*Weights!$B$7+V16/5*Weights!$B$8-L16*Weights!$B$9,0))</f>
        <v>64</v>
      </c>
      <c r="X16" s="10" t="str">
        <f>IF(W16&gt;=Weights!$B$12,"A",IF(W16&gt;=Weights!$B$13,"B","C"))</f>
        <v>B</v>
      </c>
      <c r="Y16" s="11" t="inlineStr">
        <is>
          <t>Not contacted</t>
        </is>
      </c>
      <c r="Z16" s="7" t="inlineStr">
        <is>
          <t>Nate</t>
        </is>
      </c>
      <c r="AA16" s="8" t="inlineStr">
        <is>
          <t>Verify email; confirm seed appetite (BVP leans later).</t>
        </is>
      </c>
      <c r="AB16" s="7" t="inlineStr">
        <is>
          <t>2026-09-30</t>
        </is>
      </c>
      <c r="AC16" s="8" t="inlineStr">
        <is>
          <t>https://www.bvp.com/atlas/roadmap-healthcare-ai; https://www.bvp.com/</t>
        </is>
      </c>
      <c r="AD16" s="8" t="inlineStr">
        <is>
          <t>Morgan Cheatham left BVP for Breyer. Email inferred/unverified: steve@bvp.com (pattern first@bvp.com).</t>
        </is>
      </c>
    </row>
    <row r="17">
      <c r="A17" s="7" t="inlineStr">
        <is>
          <t>Amplify Partners</t>
        </is>
      </c>
      <c r="B17" s="7" t="inlineStr">
        <is>
          <t>Technical/AI-native seed fund</t>
        </is>
      </c>
      <c r="C17" s="7" t="inlineStr">
        <is>
          <t>Menlo Park, CA</t>
        </is>
      </c>
      <c r="D17" s="8" t="inlineStr">
        <is>
          <t>Active seed fund (size/vintage not re-verified)</t>
        </is>
      </c>
      <c r="E17" s="8" t="inlineStr">
        <is>
          <t>Seed, leads; data/ML infrastructure and applied AI</t>
        </is>
      </c>
      <c r="F17" s="7" t="inlineStr">
        <is>
          <t>Unknown</t>
        </is>
      </c>
      <c r="G17" s="7" t="inlineStr">
        <is>
          <t>Yes</t>
        </is>
      </c>
      <c r="H17" s="7" t="inlineStr">
        <is>
          <t>No</t>
        </is>
      </c>
      <c r="I17" s="8" t="inlineStr">
        <is>
          <t>Minimal life-science exposure; ML-infrastructure focus.</t>
        </is>
      </c>
      <c r="J17" s="8" t="inlineStr">
        <is>
          <t>AI-native seed investor; portfolio includes Modal, LangChain, Hex, direct analogs to iViz's data-tooling angle.</t>
        </is>
      </c>
      <c r="K17" s="8" t="inlineStr">
        <is>
          <t>Hex (analytics workbench) is an adjacent data-tooling holding, not a clinical competitor; note as thesis fit.</t>
        </is>
      </c>
      <c r="L17" s="9" t="n">
        <v>0</v>
      </c>
      <c r="M17" s="8" t="inlineStr">
        <is>
          <t>Unknown</t>
        </is>
      </c>
      <c r="N17" s="7" t="inlineStr">
        <is>
          <t>Sarah Catanzaro</t>
        </is>
      </c>
      <c r="O17" s="7" t="inlineStr">
        <is>
          <t>General Partner (ML/AI/data)</t>
        </is>
      </c>
      <c r="P17" s="8" t="inlineStr">
        <is>
          <t>LinkedIn; no named node confirmed.</t>
        </is>
      </c>
      <c r="Q17" s="9" t="n">
        <v>1</v>
      </c>
      <c r="R17" s="9" t="n">
        <v>5</v>
      </c>
      <c r="S17" s="9" t="n">
        <v>5</v>
      </c>
      <c r="T17" s="9" t="n">
        <v>0</v>
      </c>
      <c r="U17" s="9" t="n">
        <v>2</v>
      </c>
      <c r="V17" s="9" t="n">
        <v>4</v>
      </c>
      <c r="W17" s="10">
        <f>MAX(0,ROUND(Q17/5*Weights!$B$3+R17/5*Weights!$B$4+S17/5*Weights!$B$5+T17/5*Weights!$B$6+U17/5*Weights!$B$7+V17/5*Weights!$B$8-L17*Weights!$B$9,0))</f>
        <v>58</v>
      </c>
      <c r="X17" s="10" t="str">
        <f>IF(W17&gt;=Weights!$B$12,"A",IF(W17&gt;=Weights!$B$13,"B","C"))</f>
        <v>B</v>
      </c>
      <c r="Y17" s="11" t="inlineStr">
        <is>
          <t>Not contacted</t>
        </is>
      </c>
      <c r="Z17" s="7" t="inlineStr">
        <is>
          <t>Nate</t>
        </is>
      </c>
      <c r="AA17" s="8" t="inlineStr">
        <is>
          <t>Frame Coharts as an ML/data product (iViz); verify email.</t>
        </is>
      </c>
      <c r="AB17" s="7" t="inlineStr">
        <is>
          <t>2026-09-30</t>
        </is>
      </c>
      <c r="AC17" s="8" t="inlineStr">
        <is>
          <t>https://www.amplifypartners.com/team/sarah-catanzaro</t>
        </is>
      </c>
      <c r="AD17" s="8" t="inlineStr">
        <is>
          <t>Best fit is the iViz data-tooling angle, not the clinical vertical. Email inferred/unverified: sarah@amplifypartners.com.</t>
        </is>
      </c>
    </row>
    <row r="18">
      <c r="A18" s="7" t="inlineStr">
        <is>
          <t>Conviction</t>
        </is>
      </c>
      <c r="B18" s="7" t="inlineStr">
        <is>
          <t>Applied-AI seed/early fund</t>
        </is>
      </c>
      <c r="C18" s="7" t="inlineStr">
        <is>
          <t>San Francisco, CA</t>
        </is>
      </c>
      <c r="D18" s="8" t="inlineStr">
        <is>
          <t>Unknown (confirm fund size/vintage)</t>
        </is>
      </c>
      <c r="E18" s="8" t="inlineStr">
        <is>
          <t>Seed and early; applied AI (Software 3.0)</t>
        </is>
      </c>
      <c r="F18" s="7" t="inlineStr">
        <is>
          <t>Unknown</t>
        </is>
      </c>
      <c r="G18" s="7" t="inlineStr">
        <is>
          <t>Yes (confirm)</t>
        </is>
      </c>
      <c r="H18" s="7" t="inlineStr">
        <is>
          <t>No</t>
        </is>
      </c>
      <c r="I18" s="8" t="inlineStr">
        <is>
          <t>Applied-AI generalist; life-science exposure not confirmed. Verify any bio holdings.</t>
        </is>
      </c>
      <c r="J18" s="8" t="inlineStr">
        <is>
          <t>Pure applied-AI thesis (Software 3.0, AI-native apps and agents). iViz workbench plus Mona/Merlin agents map to the thesis.</t>
        </is>
      </c>
      <c r="K18" s="8" t="inlineStr">
        <is>
          <t>Confirm portfolio before Tier assignment.</t>
        </is>
      </c>
      <c r="L18" s="9" t="n">
        <v>0</v>
      </c>
      <c r="M18" s="8" t="inlineStr">
        <is>
          <t>Unknown</t>
        </is>
      </c>
      <c r="N18" s="7" t="inlineStr">
        <is>
          <t>Sarah Guo</t>
        </is>
      </c>
      <c r="O18" s="7" t="inlineStr">
        <is>
          <t>Founder and General Partner</t>
        </is>
      </c>
      <c r="P18" s="8" t="inlineStr">
        <is>
          <t>Cold with an open inbound process; no named node.</t>
        </is>
      </c>
      <c r="Q18" s="9" t="n">
        <v>2</v>
      </c>
      <c r="R18" s="9" t="n">
        <v>5</v>
      </c>
      <c r="S18" s="9" t="n">
        <v>4</v>
      </c>
      <c r="T18" s="9" t="n">
        <v>0</v>
      </c>
      <c r="U18" s="9" t="n">
        <v>1</v>
      </c>
      <c r="V18" s="9" t="n">
        <v>3</v>
      </c>
      <c r="W18" s="10">
        <f>MAX(0,ROUND(Q18/5*Weights!$B$3+R18/5*Weights!$B$4+S18/5*Weights!$B$5+T18/5*Weights!$B$6+U18/5*Weights!$B$7+V18/5*Weights!$B$8-L18*Weights!$B$9,0))</f>
        <v>56</v>
      </c>
      <c r="X18" s="10" t="str">
        <f>IF(W18&gt;=Weights!$B$12,"A",IF(W18&gt;=Weights!$B$13,"B","C"))</f>
        <v>B</v>
      </c>
      <c r="Y18" s="11" t="inlineStr">
        <is>
          <t>Not contacted</t>
        </is>
      </c>
      <c r="Z18" s="7" t="inlineStr">
        <is>
          <t>Nate</t>
        </is>
      </c>
      <c r="AA18" s="8" t="inlineStr">
        <is>
          <t>VERIFY: fund status, recent deals, best contact path, email.</t>
        </is>
      </c>
      <c r="AB18" s="7" t="inlineStr">
        <is>
          <t>2026-09-30</t>
        </is>
      </c>
      <c r="AC18" s="8" t="inlineStr">
        <is>
          <t>https://www.conviction.com/</t>
        </is>
      </c>
      <c r="AD18" s="8" t="inlineStr">
        <is>
          <t>NEW candidate, not yet verified this pass. Added for the applied-AI (iViz + company narrative) door. Scores conservative pending verification.</t>
        </is>
      </c>
    </row>
    <row r="19">
      <c r="A19" s="7" t="inlineStr">
        <is>
          <t>Radical Ventures</t>
        </is>
      </c>
      <c r="B19" s="7" t="inlineStr">
        <is>
          <t>AI-first fund</t>
        </is>
      </c>
      <c r="C19" s="7" t="inlineStr">
        <is>
          <t>Toronto / San Francisco</t>
        </is>
      </c>
      <c r="D19" s="8" t="inlineStr">
        <is>
          <t>Unknown (confirm fund size/vintage)</t>
        </is>
      </c>
      <c r="E19" s="8" t="inlineStr">
        <is>
          <t>Seed to growth; AI-first incl. AI-for-science (confirm)</t>
        </is>
      </c>
      <c r="F19" s="7" t="inlineStr">
        <is>
          <t>Unknown</t>
        </is>
      </c>
      <c r="G19" s="7" t="inlineStr">
        <is>
          <t>Selective (confirm)</t>
        </is>
      </c>
      <c r="H19" s="7" t="inlineStr">
        <is>
          <t>No</t>
        </is>
      </c>
      <c r="I19" s="8" t="inlineStr">
        <is>
          <t>AI-for-science interest with some bio exposure; confirm specific holdings.</t>
        </is>
      </c>
      <c r="J19" s="8" t="inlineStr">
        <is>
          <t>AI-first fund; fits the Applied AI company narrative. Confirm portfolio depth.</t>
        </is>
      </c>
      <c r="K19" s="8" t="inlineStr">
        <is>
          <t>Confirm portfolio before Tier assignment.</t>
        </is>
      </c>
      <c r="L19" s="9" t="n">
        <v>0</v>
      </c>
      <c r="M19" s="8" t="inlineStr">
        <is>
          <t>Unknown</t>
        </is>
      </c>
      <c r="N19" s="7" t="inlineStr">
        <is>
          <t>Unknown (identify AI-for-science partner)</t>
        </is>
      </c>
      <c r="O19" s="7" t="inlineStr">
        <is>
          <t>Unknown</t>
        </is>
      </c>
      <c r="P19" s="8" t="inlineStr">
        <is>
          <t>Cold with an open inbound process; no named node.</t>
        </is>
      </c>
      <c r="Q19" s="9" t="n">
        <v>2</v>
      </c>
      <c r="R19" s="9" t="n">
        <v>5</v>
      </c>
      <c r="S19" s="9" t="n">
        <v>3</v>
      </c>
      <c r="T19" s="9" t="n">
        <v>0</v>
      </c>
      <c r="U19" s="9" t="n">
        <v>1</v>
      </c>
      <c r="V19" s="9" t="n">
        <v>3</v>
      </c>
      <c r="W19" s="10">
        <f>MAX(0,ROUND(Q19/5*Weights!$B$3+R19/5*Weights!$B$4+S19/5*Weights!$B$5+T19/5*Weights!$B$6+U19/5*Weights!$B$7+V19/5*Weights!$B$8-L19*Weights!$B$9,0))</f>
        <v>52</v>
      </c>
      <c r="X19" s="10" t="str">
        <f>IF(W19&gt;=Weights!$B$12,"A",IF(W19&gt;=Weights!$B$13,"B","C"))</f>
        <v>B</v>
      </c>
      <c r="Y19" s="11" t="inlineStr">
        <is>
          <t>Not contacted</t>
        </is>
      </c>
      <c r="Z19" s="7" t="inlineStr">
        <is>
          <t>Nate</t>
        </is>
      </c>
      <c r="AA19" s="8" t="inlineStr">
        <is>
          <t>VERIFY: partner, recent deals, fund status, contact.</t>
        </is>
      </c>
      <c r="AB19" s="7" t="inlineStr">
        <is>
          <t>2026-09-30</t>
        </is>
      </c>
      <c r="AC19" s="8" t="inlineStr">
        <is>
          <t>https://radical.vc/</t>
        </is>
      </c>
      <c r="AD19" s="8" t="inlineStr">
        <is>
          <t>NEW candidate, not yet verified this pass. Added for the applied-AI door.</t>
        </is>
      </c>
    </row>
    <row r="20">
      <c r="A20" s="7" t="inlineStr">
        <is>
          <t>Basis Set Ventures</t>
        </is>
      </c>
      <c r="B20" s="7" t="inlineStr">
        <is>
          <t>AI/data-tooling seed fund</t>
        </is>
      </c>
      <c r="C20" s="7" t="inlineStr">
        <is>
          <t>San Francisco, CA</t>
        </is>
      </c>
      <c r="D20" s="8" t="inlineStr">
        <is>
          <t>Unknown (confirm fund size/vintage)</t>
        </is>
      </c>
      <c r="E20" s="8" t="inlineStr">
        <is>
          <t>Seed, leads; AI, automation, and data tooling</t>
        </is>
      </c>
      <c r="F20" s="7" t="inlineStr">
        <is>
          <t>Unknown</t>
        </is>
      </c>
      <c r="G20" s="7" t="inlineStr">
        <is>
          <t>Yes (confirm)</t>
        </is>
      </c>
      <c r="H20" s="7" t="inlineStr">
        <is>
          <t>No</t>
        </is>
      </c>
      <c r="I20" s="8" t="inlineStr">
        <is>
          <t>Minimal life-science exposure; AI/automation and data-tooling focus.</t>
        </is>
      </c>
      <c r="J20" s="8" t="inlineStr">
        <is>
          <t>AI/automation and data-tooling thesis; strong fit for iViz's workflow-automation angle. Confirm recent deals.</t>
        </is>
      </c>
      <c r="K20" s="8" t="inlineStr">
        <is>
          <t>Confirm portfolio before Tier assignment.</t>
        </is>
      </c>
      <c r="L20" s="9" t="n">
        <v>0</v>
      </c>
      <c r="M20" s="8" t="inlineStr">
        <is>
          <t>Unknown</t>
        </is>
      </c>
      <c r="N20" s="7" t="inlineStr">
        <is>
          <t>Unknown (identify data-tooling partner)</t>
        </is>
      </c>
      <c r="O20" s="7" t="inlineStr">
        <is>
          <t>Unknown</t>
        </is>
      </c>
      <c r="P20" s="8" t="inlineStr">
        <is>
          <t>Cold with an open inbound process; no named node.</t>
        </is>
      </c>
      <c r="Q20" s="9" t="n">
        <v>1</v>
      </c>
      <c r="R20" s="9" t="n">
        <v>5</v>
      </c>
      <c r="S20" s="9" t="n">
        <v>5</v>
      </c>
      <c r="T20" s="9" t="n">
        <v>0</v>
      </c>
      <c r="U20" s="9" t="n">
        <v>1</v>
      </c>
      <c r="V20" s="9" t="n">
        <v>3</v>
      </c>
      <c r="W20" s="10">
        <f>MAX(0,ROUND(Q20/5*Weights!$B$3+R20/5*Weights!$B$4+S20/5*Weights!$B$5+T20/5*Weights!$B$6+U20/5*Weights!$B$7+V20/5*Weights!$B$8-L20*Weights!$B$9,0))</f>
        <v>54</v>
      </c>
      <c r="X20" s="10" t="str">
        <f>IF(W20&gt;=Weights!$B$12,"A",IF(W20&gt;=Weights!$B$13,"B","C"))</f>
        <v>B</v>
      </c>
      <c r="Y20" s="11" t="inlineStr">
        <is>
          <t>Not contacted</t>
        </is>
      </c>
      <c r="Z20" s="7" t="inlineStr">
        <is>
          <t>Nate</t>
        </is>
      </c>
      <c r="AA20" s="8" t="inlineStr">
        <is>
          <t>VERIFY: partner, recent deals, fund status, contact.</t>
        </is>
      </c>
      <c r="AB20" s="7" t="inlineStr">
        <is>
          <t>2026-09-30</t>
        </is>
      </c>
      <c r="AC20" s="8" t="inlineStr">
        <is>
          <t>https://www.basisset.com/</t>
        </is>
      </c>
      <c r="AD20" s="8" t="inlineStr">
        <is>
          <t>NEW candidate, not yet verified this pass. Best fit is iViz data-tooling, not the clinical vertical.</t>
        </is>
      </c>
    </row>
    <row r="21">
      <c r="A21" s="7" t="inlineStr">
        <is>
          <t>Catalio Capital</t>
        </is>
      </c>
      <c r="B21" s="7" t="inlineStr">
        <is>
          <t>Biomedical therapeutics/devices fund</t>
        </is>
      </c>
      <c r="C21" s="7" t="inlineStr">
        <is>
          <t>New York / Baltimore</t>
        </is>
      </c>
      <c r="D21" s="8" t="inlineStr">
        <is>
          <t>Nexus Fund IV, &gt;$400M, Jul 2025</t>
        </is>
      </c>
      <c r="E21" s="8" t="inlineStr">
        <is>
          <t>Multistage biomedical; therapeutics and devices</t>
        </is>
      </c>
      <c r="F21" s="7" t="inlineStr">
        <is>
          <t>Unknown</t>
        </is>
      </c>
      <c r="G21" s="7" t="inlineStr">
        <is>
          <t>Rarely for software</t>
        </is>
      </c>
      <c r="H21" s="7" t="inlineStr">
        <is>
          <t>No</t>
        </is>
      </c>
      <c r="I21" s="8" t="inlineStr">
        <is>
          <t>Biomedical crossover but therapeutics/devices-weighted; software is rare. Better as a strategic angel than a lead.</t>
        </is>
      </c>
      <c r="J21" s="8" t="inlineStr">
        <is>
          <t>Limited applied-AI-software evidence.</t>
        </is>
      </c>
      <c r="K21" s="8" t="inlineStr">
        <is>
          <t>None competing directly with Foresight/iViz identified.</t>
        </is>
      </c>
      <c r="L21" s="9" t="n">
        <v>0</v>
      </c>
      <c r="M21" s="8" t="inlineStr">
        <is>
          <t>Unknown</t>
        </is>
      </c>
      <c r="N21" s="7" t="inlineStr">
        <is>
          <t>R. Jacob Vogelstein, PhD</t>
        </is>
      </c>
      <c r="O21" s="7" t="inlineStr">
        <is>
          <t>Co-Founder and Managing Partner</t>
        </is>
      </c>
      <c r="P21" s="8" t="inlineStr">
        <is>
          <t>Cold; no named node.</t>
        </is>
      </c>
      <c r="Q21" s="9" t="n">
        <v>3</v>
      </c>
      <c r="R21" s="9" t="n">
        <v>2</v>
      </c>
      <c r="S21" s="9" t="n">
        <v>2</v>
      </c>
      <c r="T21" s="9" t="n">
        <v>0</v>
      </c>
      <c r="U21" s="9" t="n">
        <v>1</v>
      </c>
      <c r="V21" s="9" t="n">
        <v>4</v>
      </c>
      <c r="W21" s="10">
        <f>MAX(0,ROUND(Q21/5*Weights!$B$3+R21/5*Weights!$B$4+S21/5*Weights!$B$5+T21/5*Weights!$B$6+U21/5*Weights!$B$7+V21/5*Weights!$B$8-L21*Weights!$B$9,0))</f>
        <v>44</v>
      </c>
      <c r="X21" s="10" t="str">
        <f>IF(W21&gt;=Weights!$B$12,"A",IF(W21&gt;=Weights!$B$13,"B","C"))</f>
        <v>C</v>
      </c>
      <c r="Y21" s="11" t="inlineStr">
        <is>
          <t>Not contacted</t>
        </is>
      </c>
      <c r="Z21" s="7" t="inlineStr">
        <is>
          <t>Nate</t>
        </is>
      </c>
      <c r="AA21" s="8" t="inlineStr">
        <is>
          <t>Approach as strategic/customer, not lead.</t>
        </is>
      </c>
      <c r="AB21" s="7" t="inlineStr">
        <is>
          <t>2026-09-30</t>
        </is>
      </c>
      <c r="AC21" s="8" t="inlineStr">
        <is>
          <t>https://www.cataliocapital.com/team/r-jacob-vogelstein; https://www.businesswire.com/news/home/20250701360026/en/</t>
        </is>
      </c>
      <c r="AD21" s="8" t="inlineStr">
        <is>
          <t>Screened but low fit for a software seed (therapeutics/devices focus). Email inferred: jacob@cataliocapital.com.</t>
        </is>
      </c>
    </row>
    <row r="22">
      <c r="A22" s="7" t="inlineStr">
        <is>
          <t>5AM Ventures</t>
        </is>
      </c>
      <c r="B22" s="7" t="inlineStr">
        <is>
          <t>Therapeutics biotech fund</t>
        </is>
      </c>
      <c r="C22" s="7" t="inlineStr">
        <is>
          <t>San Francisco / Boston</t>
        </is>
      </c>
      <c r="D22" s="8" t="inlineStr">
        <is>
          <t>Active biotech funds (recent close; date not re-verified)</t>
        </is>
      </c>
      <c r="E22" s="8" t="inlineStr">
        <is>
          <t>Biotech therapeutics company creation</t>
        </is>
      </c>
      <c r="F22" s="7" t="inlineStr">
        <is>
          <t>Unknown</t>
        </is>
      </c>
      <c r="G22" s="7" t="inlineStr">
        <is>
          <t>No (for software)</t>
        </is>
      </c>
      <c r="H22" s="7" t="inlineStr">
        <is>
          <t>No</t>
        </is>
      </c>
      <c r="I22" s="8" t="inlineStr">
        <is>
          <t>Pure therapeutics VC; builds and backs drug companies, not software vendors. Off-thesis for Coharts as a tool provider.</t>
        </is>
      </c>
      <c r="J22" s="8" t="inlineStr">
        <is>
          <t>Not an applied-AI-software investor.</t>
        </is>
      </c>
      <c r="K22" s="8" t="inlineStr">
        <is>
          <t>None; different category.</t>
        </is>
      </c>
      <c r="L22" s="9" t="n">
        <v>0</v>
      </c>
      <c r="M22" s="8" t="inlineStr">
        <is>
          <t>Unknown</t>
        </is>
      </c>
      <c r="N22" s="7" t="inlineStr">
        <is>
          <t>Andrew (Andy) Schwab</t>
        </is>
      </c>
      <c r="O22" s="7" t="inlineStr">
        <is>
          <t>Founder and Managing Partner</t>
        </is>
      </c>
      <c r="P22" s="8" t="inlineStr">
        <is>
          <t>Cold; no named node.</t>
        </is>
      </c>
      <c r="Q22" s="9" t="n">
        <v>1</v>
      </c>
      <c r="R22" s="9" t="n">
        <v>1</v>
      </c>
      <c r="S22" s="9" t="n">
        <v>1</v>
      </c>
      <c r="T22" s="9" t="n">
        <v>0</v>
      </c>
      <c r="U22" s="9" t="n">
        <v>1</v>
      </c>
      <c r="V22" s="9" t="n">
        <v>4</v>
      </c>
      <c r="W22" s="10">
        <f>MAX(0,ROUND(Q22/5*Weights!$B$3+R22/5*Weights!$B$4+S22/5*Weights!$B$5+T22/5*Weights!$B$6+U22/5*Weights!$B$7+V22/5*Weights!$B$8-L22*Weights!$B$9,0))</f>
        <v>24</v>
      </c>
      <c r="X22" s="10" t="str">
        <f>IF(W22&gt;=Weights!$B$12,"A",IF(W22&gt;=Weights!$B$13,"B","C"))</f>
        <v>C</v>
      </c>
      <c r="Y22" s="11" t="inlineStr">
        <is>
          <t>Not contacted</t>
        </is>
      </c>
      <c r="Z22" s="7" t="inlineStr">
        <is>
          <t>Nate</t>
        </is>
      </c>
      <c r="AA22" s="8" t="inlineStr">
        <is>
          <t>Deprioritize as an investor; possible customer/strategic only.</t>
        </is>
      </c>
      <c r="AB22" s="7" t="inlineStr">
        <is>
          <t>2026-09-30</t>
        </is>
      </c>
      <c r="AC22" s="8" t="inlineStr">
        <is>
          <t>https://5amventures.com/team/</t>
        </is>
      </c>
      <c r="AD22" s="8" t="inlineStr">
        <is>
          <t>Included to document the screen. Off-thesis (asset-owning therapeutics). Email inferred: aschwab@5amventures.com.</t>
        </is>
      </c>
    </row>
  </sheetData>
  <autoFilter ref="A1:AD22"/>
  <conditionalFormatting sqref="W2:W22">
    <cfRule type="colorScale" priority="1">
      <colorScale>
        <cfvo type="num" val="0"/>
        <cfvo type="num" val="50"/>
        <cfvo type="num" val="100"/>
        <color rgb="00F8B4B4"/>
        <color rgb="00FDE68A"/>
        <color rgb="00A7F3D0"/>
      </colorScale>
    </cfRule>
  </conditionalFormatting>
  <dataValidations count="3">
    <dataValidation sqref="Y2:Y222" showDropDown="0" showInputMessage="0" showErrorMessage="0" allowBlank="1" type="list">
      <formula1>"Not contacted,Researching,Intro requested,Intro made,First meeting,Diligence,Term sheet,Closed,Passed"</formula1>
    </dataValidation>
    <dataValidation sqref="Q2:Q222 R2:R222 S2:S222 T2:T222 U2:U222 V2:V222" showDropDown="0" showInputMessage="0" showErrorMessage="0" allowBlank="1" type="whole" operator="between">
      <formula1>0</formula1>
      <formula2>5</formula2>
    </dataValidation>
    <dataValidation sqref="L2:L222" showDropDown="0" showInputMessage="0" showErrorMessage="0" allowBlank="1" type="whole" operator="between">
      <formula1>0</formula1>
      <formula2>1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60" customWidth="1" min="3" max="3"/>
  </cols>
  <sheetData>
    <row r="1">
      <c r="A1" s="1" t="inlineStr">
        <is>
          <t>Scoring weights</t>
        </is>
      </c>
    </row>
    <row r="2">
      <c r="A2" s="12" t="inlineStr">
        <is>
          <t>Dimension</t>
        </is>
      </c>
      <c r="B2" s="12" t="inlineStr">
        <is>
          <t>Weight</t>
        </is>
      </c>
      <c r="C2" s="12" t="inlineStr">
        <is>
          <t>Note</t>
        </is>
      </c>
    </row>
    <row r="3">
      <c r="A3" s="13" t="inlineStr">
        <is>
          <t>Life science and TechBio evidence</t>
        </is>
      </c>
      <c r="B3" s="14" t="n">
        <v>30</v>
      </c>
      <c r="C3" s="3" t="inlineStr">
        <is>
          <t>Strongest predictor of a partner who can underwrite without a long education cycle.</t>
        </is>
      </c>
    </row>
    <row r="4">
      <c r="A4" s="13" t="inlineStr">
        <is>
          <t>Applied AI thesis evidence</t>
        </is>
      </c>
      <c r="B4" s="14" t="n">
        <v>20</v>
      </c>
      <c r="C4" s="3" t="inlineStr">
        <is>
          <t>Written thesis or an AI-native portfolio, not a homepage mention.</t>
        </is>
      </c>
    </row>
    <row r="5">
      <c r="A5" s="13" t="inlineStr">
        <is>
          <t>Stage fit</t>
        </is>
      </c>
      <c r="B5" s="14" t="n">
        <v>20</v>
      </c>
      <c r="C5" s="3" t="inlineStr">
        <is>
          <t>Scored against the confirmed round parameters, not a general notion of seed.</t>
        </is>
      </c>
    </row>
    <row r="6">
      <c r="A6" s="13" t="inlineStr">
        <is>
          <t>Check size fit</t>
        </is>
      </c>
      <c r="B6" s="14" t="n">
        <v>10</v>
      </c>
      <c r="C6" s="3" t="inlineStr">
        <is>
          <t>Score 0 if unknown. Do not derive a check size from a fund size.</t>
        </is>
      </c>
    </row>
    <row r="7">
      <c r="A7" s="13" t="inlineStr">
        <is>
          <t>Warm path strength</t>
        </is>
      </c>
      <c r="B7" s="14" t="n">
        <v>10</v>
      </c>
      <c r="C7" s="3" t="inlineStr">
        <is>
          <t>A named node scores high. An unnamed warm intro scores 2.</t>
        </is>
      </c>
    </row>
    <row r="8">
      <c r="A8" s="13" t="inlineStr">
        <is>
          <t>Deployment activity</t>
        </is>
      </c>
      <c r="B8" s="14" t="n">
        <v>10</v>
      </c>
      <c r="C8" s="3" t="inlineStr">
        <is>
          <t>Dry powder and pace. Late-cycle funds take meetings and do not write.</t>
        </is>
      </c>
    </row>
    <row r="9">
      <c r="A9" s="13" t="inlineStr">
        <is>
          <t>Conflict penalty (points)</t>
        </is>
      </c>
      <c r="B9" s="14" t="n">
        <v>25</v>
      </c>
      <c r="C9" s="3" t="inlineStr">
        <is>
          <t>Subtracted when Conflict flag is 1. Demotes rather than excludes.</t>
        </is>
      </c>
    </row>
    <row r="10">
      <c r="A10" s="15" t="inlineStr">
        <is>
          <t>Total weight (should be 100)</t>
        </is>
      </c>
      <c r="B10" s="13">
        <f>SUM(B3:B8)</f>
        <v/>
      </c>
    </row>
    <row r="12">
      <c r="A12" s="13" t="inlineStr">
        <is>
          <t>Tier A threshold</t>
        </is>
      </c>
      <c r="B12" s="14" t="n">
        <v>70</v>
      </c>
    </row>
    <row r="13">
      <c r="A13" s="13" t="inlineStr">
        <is>
          <t>Tier B threshold</t>
        </is>
      </c>
      <c r="B13" s="14" t="n">
        <v>50</v>
      </c>
    </row>
    <row r="15">
      <c r="A15" s="16" t="inlineStr">
        <is>
          <t>Blue figures are editable levers.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52" customWidth="1" min="2" max="2"/>
    <col width="26" customWidth="1" min="3" max="3"/>
    <col width="58" customWidth="1" min="4" max="4"/>
    <col width="14" customWidth="1" min="5" max="5"/>
  </cols>
  <sheetData>
    <row r="1">
      <c r="A1" s="12" t="inlineStr">
        <is>
          <t>Firm</t>
        </is>
      </c>
      <c r="B1" s="12" t="inlineStr">
        <is>
          <t>Claim supported</t>
        </is>
      </c>
      <c r="C1" s="12" t="inlineStr">
        <is>
          <t>Source</t>
        </is>
      </c>
      <c r="D1" s="12" t="inlineStr">
        <is>
          <t>URL or record ID</t>
        </is>
      </c>
      <c r="E1" s="12" t="inlineStr">
        <is>
          <t>Accessed</t>
        </is>
      </c>
    </row>
    <row r="2">
      <c r="A2" s="7" t="inlineStr">
        <is>
          <t>Dimension Capital</t>
        </is>
      </c>
      <c r="B2" s="8" t="inlineStr">
        <is>
          <t>Fund III $800M, Jul 2026, $1.65B AUM; Chai Discovery seed</t>
        </is>
      </c>
      <c r="C2" s="7" t="inlineStr">
        <is>
          <t>TechCrunch</t>
        </is>
      </c>
      <c r="D2" s="8" t="inlineStr">
        <is>
          <t>https://techcrunch.com/2026/07/21/dimension-capitals-800m-third-fund-shows-the-intersection-of-science-and-compute-is-booming/</t>
        </is>
      </c>
      <c r="E2" s="7" t="inlineStr">
        <is>
          <t>2026-07-27</t>
        </is>
      </c>
    </row>
    <row r="3">
      <c r="A3" s="7" t="inlineStr">
        <is>
          <t>Dimension Capital</t>
        </is>
      </c>
      <c r="B3" s="8" t="inlineStr">
        <is>
          <t>Firm thesis and team</t>
        </is>
      </c>
      <c r="C3" s="7" t="inlineStr">
        <is>
          <t>Firm website</t>
        </is>
      </c>
      <c r="D3" s="8" t="inlineStr">
        <is>
          <t>https://www.dimensioncap.com/</t>
        </is>
      </c>
      <c r="E3" s="7" t="inlineStr">
        <is>
          <t>2026-07-27</t>
        </is>
      </c>
    </row>
    <row r="4">
      <c r="A4" s="7" t="inlineStr">
        <is>
          <t>a16z Bio + Health</t>
        </is>
      </c>
      <c r="B4" s="8" t="inlineStr">
        <is>
          <t>AI-in-healthcare thesis and portfolio</t>
        </is>
      </c>
      <c r="C4" s="7" t="inlineStr">
        <is>
          <t>a16z</t>
        </is>
      </c>
      <c r="D4" s="8" t="inlineStr">
        <is>
          <t>https://a16z.com/infinite-healthcare-whats-it-worth/</t>
        </is>
      </c>
      <c r="E4" s="7" t="inlineStr">
        <is>
          <t>2026-07-27</t>
        </is>
      </c>
    </row>
    <row r="5">
      <c r="A5" s="7" t="inlineStr">
        <is>
          <t>a16z Bio + Health</t>
        </is>
      </c>
      <c r="B5" s="8" t="inlineStr">
        <is>
          <t>Julie Yoo role</t>
        </is>
      </c>
      <c r="C5" s="7" t="inlineStr">
        <is>
          <t>a16z</t>
        </is>
      </c>
      <c r="D5" s="8" t="inlineStr">
        <is>
          <t>https://a16z.com/author/julie-yoo/</t>
        </is>
      </c>
      <c r="E5" s="7" t="inlineStr">
        <is>
          <t>2026-07-27</t>
        </is>
      </c>
    </row>
    <row r="6">
      <c r="A6" s="7" t="inlineStr">
        <is>
          <t>Section 32</t>
        </is>
      </c>
      <c r="B6" s="8" t="inlineStr">
        <is>
          <t>Pellini leads healthcare; Freenome/precision medicine</t>
        </is>
      </c>
      <c r="C6" s="7" t="inlineStr">
        <is>
          <t>Crunchbase</t>
        </is>
      </c>
      <c r="D6" s="8" t="inlineStr">
        <is>
          <t>https://www.crunchbase.com/person/michael-j-pellini</t>
        </is>
      </c>
      <c r="E6" s="7" t="inlineStr">
        <is>
          <t>2026-07-27</t>
        </is>
      </c>
    </row>
    <row r="7">
      <c r="A7" s="7" t="inlineStr">
        <is>
          <t>Lux Capital</t>
        </is>
      </c>
      <c r="B7" s="8" t="inlineStr">
        <is>
          <t>Shakir is a Lux GP, health/AI focus</t>
        </is>
      </c>
      <c r="C7" s="7" t="inlineStr">
        <is>
          <t>Firm website</t>
        </is>
      </c>
      <c r="D7" s="8" t="inlineStr">
        <is>
          <t>https://www.luxcapital.com/people</t>
        </is>
      </c>
      <c r="E7" s="7" t="inlineStr">
        <is>
          <t>2026-07-27</t>
        </is>
      </c>
    </row>
    <row r="8">
      <c r="A8" s="7" t="inlineStr">
        <is>
          <t>Foresite Capital</t>
        </is>
      </c>
      <c r="B8" s="8" t="inlineStr">
        <is>
          <t>Fund VI $900M Jun 2024; Xaira co-lead</t>
        </is>
      </c>
      <c r="C8" s="7" t="inlineStr">
        <is>
          <t>BioPharma Dive</t>
        </is>
      </c>
      <c r="D8" s="8" t="inlineStr">
        <is>
          <t>https://www.biopharmadive.com/news/foresite-950-million-fund-vi-venture-capital/718617/</t>
        </is>
      </c>
      <c r="E8" s="7" t="inlineStr">
        <is>
          <t>2026-07-27</t>
        </is>
      </c>
    </row>
    <row r="9">
      <c r="A9" s="7" t="inlineStr">
        <is>
          <t>Khosla Ventures</t>
        </is>
      </c>
      <c r="B9" s="8" t="inlineStr">
        <is>
          <t>Khosla led Rad AI $50M Series B (2024)</t>
        </is>
      </c>
      <c r="C9" s="7" t="inlineStr">
        <is>
          <t>Rad AI</t>
        </is>
      </c>
      <c r="D9" s="8" t="inlineStr">
        <is>
          <t>https://www.radai.com/news/rad-ai-closes-50-million-to-empower-physicians-with-ai</t>
        </is>
      </c>
      <c r="E9" s="7" t="inlineStr">
        <is>
          <t>2026-07-27</t>
        </is>
      </c>
    </row>
    <row r="10">
      <c r="A10" s="7" t="inlineStr">
        <is>
          <t>DCVC Bio</t>
        </is>
      </c>
      <c r="B10" s="8" t="inlineStr">
        <is>
          <t>DCVC Bio III ~$700M, 2024</t>
        </is>
      </c>
      <c r="C10" s="7" t="inlineStr">
        <is>
          <t>VCwire</t>
        </is>
      </c>
      <c r="D10" s="8" t="inlineStr">
        <is>
          <t>https://vcwire.tech/2024/10/01/dcvc-closes-over-700m-in-new-funds/</t>
        </is>
      </c>
      <c r="E10" s="7" t="inlineStr">
        <is>
          <t>2026-07-27</t>
        </is>
      </c>
    </row>
    <row r="11">
      <c r="A11" s="7" t="inlineStr">
        <is>
          <t>Menlo Ventures</t>
        </is>
      </c>
      <c r="B11" s="8" t="inlineStr">
        <is>
          <t>Menlo led Chai Discovery $70M Series A (2025)</t>
        </is>
      </c>
      <c r="C11" s="7" t="inlineStr">
        <is>
          <t>PharmExec</t>
        </is>
      </c>
      <c r="D11" s="8" t="inlineStr">
        <is>
          <t>https://www.pharmexec.com/view/menlo-ventures-led-70-million-series-a-fundraiser-chai-discovery-transform-molecular-design</t>
        </is>
      </c>
      <c r="E11" s="7" t="inlineStr">
        <is>
          <t>2026-07-27</t>
        </is>
      </c>
    </row>
    <row r="12">
      <c r="A12" s="7" t="inlineStr">
        <is>
          <t>8VC</t>
        </is>
      </c>
      <c r="B12" s="8" t="inlineStr">
        <is>
          <t>Scotti healthcare focus at 8VC</t>
        </is>
      </c>
      <c r="C12" s="7" t="inlineStr">
        <is>
          <t>Signal/NFX</t>
        </is>
      </c>
      <c r="D12" s="8" t="inlineStr">
        <is>
          <t>https://signal.nfx.com/investors/kimmy-scotti</t>
        </is>
      </c>
      <c r="E12" s="7" t="inlineStr">
        <is>
          <t>2026-07-27</t>
        </is>
      </c>
    </row>
    <row r="13">
      <c r="A13" s="7" t="inlineStr">
        <is>
          <t>GV (Google Ventures)</t>
        </is>
      </c>
      <c r="B13" s="8" t="inlineStr">
        <is>
          <t>Yeshwant co-leads GV life sciences</t>
        </is>
      </c>
      <c r="C13" s="7" t="inlineStr">
        <is>
          <t>Firm website</t>
        </is>
      </c>
      <c r="D13" s="8" t="inlineStr">
        <is>
          <t>https://www.gv.com/team/krishna-yeshwant</t>
        </is>
      </c>
      <c r="E13" s="7" t="inlineStr">
        <is>
          <t>2026-07-27</t>
        </is>
      </c>
    </row>
    <row r="14">
      <c r="A14" s="7" t="inlineStr">
        <is>
          <t>Breyer Capital</t>
        </is>
      </c>
      <c r="B14" s="8" t="inlineStr">
        <is>
          <t>Cheatham hired by Breyer to lead HC/LS (Apr 2025)</t>
        </is>
      </c>
      <c r="C14" s="7" t="inlineStr">
        <is>
          <t>Forbes</t>
        </is>
      </c>
      <c r="D14" s="8" t="inlineStr">
        <is>
          <t>https://www.forbes.com/sites/sindhyavalloppillil/2025/04/24/billionaire-vc-jim-breyer-taps-morgan-cheatham-to-drive-the-future-of-healthcare-and-life-sciences/</t>
        </is>
      </c>
      <c r="E14" s="7" t="inlineStr">
        <is>
          <t>2026-07-27</t>
        </is>
      </c>
    </row>
    <row r="15">
      <c r="A15" s="7" t="inlineStr">
        <is>
          <t>Obvious Ventures</t>
        </is>
      </c>
      <c r="B15" s="8" t="inlineStr">
        <is>
          <t>Fund V $360M Jan 2026; check band</t>
        </is>
      </c>
      <c r="C15" s="7" t="inlineStr">
        <is>
          <t>Firm website</t>
        </is>
      </c>
      <c r="D15" s="8" t="inlineStr">
        <is>
          <t>https://obvious.com/team/james-joaquin/</t>
        </is>
      </c>
      <c r="E15" s="7" t="inlineStr">
        <is>
          <t>2026-07-27</t>
        </is>
      </c>
    </row>
    <row r="16">
      <c r="A16" s="7" t="inlineStr">
        <is>
          <t>Zetta Venture Partners</t>
        </is>
      </c>
      <c r="B16" s="8" t="inlineStr">
        <is>
          <t>AI-first thesis; VideaHealth backing</t>
        </is>
      </c>
      <c r="C16" s="7" t="inlineStr">
        <is>
          <t>Zetta / Caplight</t>
        </is>
      </c>
      <c r="D16" s="8" t="inlineStr">
        <is>
          <t>https://www.caplight.com/investor/zettavp</t>
        </is>
      </c>
      <c r="E16" s="7" t="inlineStr">
        <is>
          <t>2026-07-27</t>
        </is>
      </c>
    </row>
    <row r="17">
      <c r="A17" s="7" t="inlineStr">
        <is>
          <t>Two Sigma Ventures</t>
        </is>
      </c>
      <c r="B17" s="8" t="inlineStr">
        <is>
          <t>Data-science thesis; healthcare line; insitro</t>
        </is>
      </c>
      <c r="C17" s="7" t="inlineStr">
        <is>
          <t>Firm website</t>
        </is>
      </c>
      <c r="D17" s="8" t="inlineStr">
        <is>
          <t>https://twosigmaventures.com/our-focus/</t>
        </is>
      </c>
      <c r="E17" s="7" t="inlineStr">
        <is>
          <t>2026-07-27</t>
        </is>
      </c>
    </row>
    <row r="18">
      <c r="A18" s="7" t="inlineStr">
        <is>
          <t>Bessemer Venture Partners</t>
        </is>
      </c>
      <c r="B18" s="8" t="inlineStr">
        <is>
          <t>BVP Healthcare AI Roadmap</t>
        </is>
      </c>
      <c r="C18" s="7" t="inlineStr">
        <is>
          <t>BVP Atlas</t>
        </is>
      </c>
      <c r="D18" s="8" t="inlineStr">
        <is>
          <t>https://www.bvp.com/atlas/roadmap-healthcare-ai</t>
        </is>
      </c>
      <c r="E18" s="7" t="inlineStr">
        <is>
          <t>2026-07-27</t>
        </is>
      </c>
    </row>
    <row r="19">
      <c r="A19" s="7" t="inlineStr">
        <is>
          <t>Amplify Partners</t>
        </is>
      </c>
      <c r="B19" s="8" t="inlineStr">
        <is>
          <t>Catanzaro GP; ML/data portfolio</t>
        </is>
      </c>
      <c r="C19" s="7" t="inlineStr">
        <is>
          <t>Firm website</t>
        </is>
      </c>
      <c r="D19" s="8" t="inlineStr">
        <is>
          <t>https://www.amplifypartners.com/team/sarah-catanzaro</t>
        </is>
      </c>
      <c r="E19" s="7" t="inlineStr">
        <is>
          <t>2026-07-27</t>
        </is>
      </c>
    </row>
    <row r="20">
      <c r="A20" s="7" t="inlineStr">
        <is>
          <t>Conviction</t>
        </is>
      </c>
      <c r="B20" s="8" t="inlineStr">
        <is>
          <t>Applied-AI thesis; Sarah Guo founder</t>
        </is>
      </c>
      <c r="C20" s="7" t="inlineStr">
        <is>
          <t>Firm website</t>
        </is>
      </c>
      <c r="D20" s="8" t="inlineStr">
        <is>
          <t>https://www.conviction.com/</t>
        </is>
      </c>
      <c r="E20" s="7" t="inlineStr">
        <is>
          <t>2026-09-30</t>
        </is>
      </c>
    </row>
    <row r="21">
      <c r="A21" s="7" t="inlineStr">
        <is>
          <t>Radical Ventures</t>
        </is>
      </c>
      <c r="B21" s="8" t="inlineStr">
        <is>
          <t>AI-first fund</t>
        </is>
      </c>
      <c r="C21" s="7" t="inlineStr">
        <is>
          <t>Firm website</t>
        </is>
      </c>
      <c r="D21" s="8" t="inlineStr">
        <is>
          <t>https://radical.vc/</t>
        </is>
      </c>
      <c r="E21" s="7" t="inlineStr">
        <is>
          <t>2026-09-30</t>
        </is>
      </c>
    </row>
    <row r="22">
      <c r="A22" s="7" t="inlineStr">
        <is>
          <t>Basis Set Ventures</t>
        </is>
      </c>
      <c r="B22" s="8" t="inlineStr">
        <is>
          <t>AI/automation and data-tooling thesis</t>
        </is>
      </c>
      <c r="C22" s="7" t="inlineStr">
        <is>
          <t>Firm website</t>
        </is>
      </c>
      <c r="D22" s="8" t="inlineStr">
        <is>
          <t>https://www.basisset.com/</t>
        </is>
      </c>
      <c r="E22" s="7" t="inlineStr">
        <is>
          <t>2026-09-30</t>
        </is>
      </c>
    </row>
    <row r="23">
      <c r="A23" s="7" t="inlineStr">
        <is>
          <t>Catalio Capital</t>
        </is>
      </c>
      <c r="B23" s="8" t="inlineStr">
        <is>
          <t>Nexus Fund IV &gt;$400M Jul 2025</t>
        </is>
      </c>
      <c r="C23" s="7" t="inlineStr">
        <is>
          <t>BusinessWire</t>
        </is>
      </c>
      <c r="D23" s="8" t="inlineStr">
        <is>
          <t>https://www.businesswire.com/news/home/20250701360026/en/</t>
        </is>
      </c>
      <c r="E23" s="7" t="inlineStr">
        <is>
          <t>2026-07-27</t>
        </is>
      </c>
    </row>
    <row r="24">
      <c r="A24" s="7" t="inlineStr">
        <is>
          <t>5AM Ventures</t>
        </is>
      </c>
      <c r="B24" s="8" t="inlineStr">
        <is>
          <t>5AM is a therapeutics biotech VC</t>
        </is>
      </c>
      <c r="C24" s="7" t="inlineStr">
        <is>
          <t>Firm website</t>
        </is>
      </c>
      <c r="D24" s="8" t="inlineStr">
        <is>
          <t>https://5amventures.com/team/</t>
        </is>
      </c>
      <c r="E24" s="7" t="inlineStr">
        <is>
          <t>2026-07-27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2026-09-30T18:34:02Z</dcterms:created>
  <dcterms:modified xsi:type="dcterms:W3CDTF">2026-09-30T18:34:02Z</dcterms:modified>
</cp:coreProperties>
</file>