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Weights" sheetId="3" state="visible" r:id="rId3"/>
    <sheet xmlns:r="http://schemas.openxmlformats.org/officeDocument/2006/relationships" name="Sources" sheetId="4" state="visible" r:id="rId4"/>
  </sheets>
  <definedNames>
    <definedName name="_xlnm._FilterDatabase" localSheetId="1" hidden="1">'Pipeline'!$A$1:$AD$57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0" fontId="5" fillId="3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5" fillId="3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Coharts Seed: institutional investor pipeline</t>
        </is>
      </c>
    </row>
    <row r="3">
      <c r="A3" s="2" t="inlineStr">
        <is>
          <t>Generated</t>
        </is>
      </c>
      <c r="B3" s="3" t="inlineStr">
        <is>
          <t>2026-09-30</t>
        </is>
      </c>
    </row>
    <row r="4">
      <c r="A4" s="2" t="inlineStr">
        <is>
          <t>Firms in this workbook</t>
        </is>
      </c>
      <c r="B4" s="3" t="inlineStr">
        <is>
          <t>56</t>
        </is>
      </c>
    </row>
    <row r="5">
      <c r="A5" s="2" t="inlineStr">
        <is>
          <t>Round parameters</t>
        </is>
      </c>
      <c r="B5" s="3" t="inlineStr">
        <is>
          <t>Institutional Seed, $6M target (valuation TBD with lead; ~26 months runway). POSITIONING UPDATE per Oct 2026 deck: Coharts = drug-development INFRASTRUCTURE, 'one record per program, from first assay to filing, with the models built in.' Foresight Base is the program record ($2K/program/month; Part 11 + ICH E6(R3) data management) with modules (PRISM, ATHENA, BEAM, CTS, iViz) switching on by stage. Applied AI, IaaS (never SaaS). Now also competes with the record/eTMF vaults (Veeva, Medidata Rave, Benchling), not only simulation tools, adding a THIRD investor door: enterprise / vertical-SaaS / dev-infrastructure. Validation is RETROSPECTIVE (LEAP Phase 2, bioavailability, failures re-run); NSCLC in PoC. Traction: Tempus POC (results for JPM Jan 2027), Synthon generics pilot complete (paid conversion $250K-$415K), PRISM with 2 pediatric hospitals (FDA grant filed/pending). A $6M seed favors seed-LEADING funds; most check sizes Unknown pending PitchBook; personal emails inferred unless marked Verified. None of these firms are in the HubSpot pipeline. CONFLICT FLAGGED: Radical Ventures holds Unlearn.AI (direct competitor). WARM-PATH NODES: Josh Seidenfeld (DLA Piper) = legal-partner intros (bumps on a16z/Lux/Basis Set/Bessemer, contingent on DLA); Johnny = BD / life-sciences venture-banking contact coordinating the intros. Other firms remain warm-path 1-2 pending named nodes.</t>
        </is>
      </c>
    </row>
    <row r="6">
      <c r="A6" s="2" t="inlineStr">
        <is>
          <t>Prepared by</t>
        </is>
      </c>
      <c r="B6" s="3" t="inlineStr">
        <is>
          <t>Coharts</t>
        </is>
      </c>
    </row>
    <row r="8">
      <c r="A8" s="4" t="inlineStr">
        <is>
          <t>How to use this workbook</t>
        </is>
      </c>
      <c r="B8" s="5" t="n"/>
    </row>
    <row r="9">
      <c r="A9" s="2" t="inlineStr">
        <is>
          <t>Pipeline</t>
        </is>
      </c>
      <c r="B9" s="3" t="inlineStr">
        <is>
          <t>One row per firm. Sort or filter on Fit score and Tier. Blue cells are inputs you can edit, black cells are calculated.</t>
        </is>
      </c>
    </row>
    <row r="10">
      <c r="A10" s="2" t="inlineStr">
        <is>
          <t>Weights</t>
        </is>
      </c>
      <c r="B10" s="3" t="inlineStr">
        <is>
          <t>Change a weight or a tier threshold and every Fit score and Tier recalculates. Weights should total 100.</t>
        </is>
      </c>
    </row>
    <row r="11">
      <c r="A11" s="2" t="inlineStr">
        <is>
          <t>Sources</t>
        </is>
      </c>
      <c r="B11" s="3" t="inlineStr">
        <is>
          <t>One row per claim, so any cell in Pipeline can be traced to the page that supports it.</t>
        </is>
      </c>
    </row>
    <row r="13">
      <c r="A13" s="4" t="inlineStr">
        <is>
          <t>Scoring</t>
        </is>
      </c>
      <c r="B13" s="5" t="n"/>
    </row>
    <row r="14">
      <c r="A14" s="2" t="inlineStr">
        <is>
          <t>Method</t>
        </is>
      </c>
      <c r="B14" s="3" t="inlineStr">
        <is>
          <t>Six dimensions scored 0 to 5, weighted to a 0 to 100 Fit score, less a conflict penalty. Tier A at 70 and above, B from 50 to 69, C below 50.</t>
        </is>
      </c>
    </row>
    <row r="15">
      <c r="A15" s="2" t="inlineStr">
        <is>
          <t>Conflict flag</t>
        </is>
      </c>
      <c r="B15" s="3" t="inlineStr">
        <is>
          <t>Set to 1 when the firm holds a company competing directly with Foresight CDI, iViz, or PRISM. The named company goes in Conflict detail.</t>
        </is>
      </c>
    </row>
    <row r="17">
      <c r="A17" s="4" t="inlineStr">
        <is>
          <t>Evidence rules</t>
        </is>
      </c>
      <c r="B17" s="5" t="n"/>
    </row>
    <row r="18">
      <c r="A18" s="2" t="inlineStr">
        <is>
          <t>Unknown is a real value</t>
        </is>
      </c>
      <c r="B18" s="3" t="inlineStr">
        <is>
          <t>An empty or Unknown cell means no source supported the claim. It is not a gap to be filled in from inference.</t>
        </is>
      </c>
    </row>
    <row r="19">
      <c r="A19" s="2" t="inlineStr">
        <is>
          <t>Every row is dated</t>
        </is>
      </c>
      <c r="B19" s="3" t="inlineStr">
        <is>
          <t>Fund sizes, partner rosters, and theses go stale. Re-verify before reusing a row in a later cycle.</t>
        </is>
      </c>
    </row>
    <row r="20">
      <c r="A20" s="2" t="inlineStr">
        <is>
          <t>People</t>
        </is>
      </c>
      <c r="B20" s="3" t="inlineStr">
        <is>
          <t>Partner names and titles come from the firm's own site, a paid data record, or a dated press item. Nowhere else.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24" customWidth="1" min="4" max="4"/>
    <col width="20" customWidth="1" min="5" max="5"/>
    <col width="16" customWidth="1" min="6" max="6"/>
    <col width="12" customWidth="1" min="7" max="7"/>
    <col width="14" customWidth="1" min="8" max="8"/>
    <col width="44" customWidth="1" min="9" max="9"/>
    <col width="44" customWidth="1" min="10" max="10"/>
    <col width="30" customWidth="1" min="11" max="11"/>
    <col width="12" customWidth="1" min="12" max="12"/>
    <col width="30" customWidth="1" min="13" max="13"/>
    <col width="20" customWidth="1" min="14" max="14"/>
    <col width="22" customWidth="1" min="15" max="15"/>
    <col width="3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1" customWidth="1" min="23" max="23"/>
    <col width="8" customWidth="1" min="24" max="24"/>
    <col width="16" customWidth="1" min="25" max="25"/>
    <col width="14" customWidth="1" min="26" max="26"/>
    <col width="30" customWidth="1" min="27" max="27"/>
    <col width="16" customWidth="1" min="28" max="28"/>
    <col width="40" customWidth="1" min="29" max="29"/>
    <col width="40" customWidth="1" min="30" max="30"/>
  </cols>
  <sheetData>
    <row r="1" ht="32" customHeight="1">
      <c r="A1" s="6" t="inlineStr">
        <is>
          <t>Firm</t>
        </is>
      </c>
      <c r="B1" s="6" t="inlineStr">
        <is>
          <t>Firm type</t>
        </is>
      </c>
      <c r="C1" s="6" t="inlineStr">
        <is>
          <t>HQ</t>
        </is>
      </c>
      <c r="D1" s="6" t="inlineStr">
        <is>
          <t>Latest fund (size, vintage)</t>
        </is>
      </c>
      <c r="E1" s="6" t="inlineStr">
        <is>
          <t>Stage focus</t>
        </is>
      </c>
      <c r="F1" s="6" t="inlineStr">
        <is>
          <t>Typical check</t>
        </is>
      </c>
      <c r="G1" s="6" t="inlineStr">
        <is>
          <t>Leads seed?</t>
        </is>
      </c>
      <c r="H1" s="6" t="inlineStr">
        <is>
          <t>Already in pipeline?</t>
        </is>
      </c>
      <c r="I1" s="6" t="inlineStr">
        <is>
          <t>Life science evidence</t>
        </is>
      </c>
      <c r="J1" s="6" t="inlineStr">
        <is>
          <t>Applied AI evidence</t>
        </is>
      </c>
      <c r="K1" s="6" t="inlineStr">
        <is>
          <t>Closest portfolio comps</t>
        </is>
      </c>
      <c r="L1" s="6" t="inlineStr">
        <is>
          <t>Conflict flag (0/1)</t>
        </is>
      </c>
      <c r="M1" s="6" t="inlineStr">
        <is>
          <t>Conflict detail</t>
        </is>
      </c>
      <c r="N1" s="6" t="inlineStr">
        <is>
          <t>Contact name</t>
        </is>
      </c>
      <c r="O1" s="6" t="inlineStr">
        <is>
          <t>Contact title</t>
        </is>
      </c>
      <c r="P1" s="6" t="inlineStr">
        <is>
          <t>Warm path</t>
        </is>
      </c>
      <c r="Q1" s="6" t="inlineStr">
        <is>
          <t>Life science score (0-5)</t>
        </is>
      </c>
      <c r="R1" s="6" t="inlineStr">
        <is>
          <t>Applied AI score (0-5)</t>
        </is>
      </c>
      <c r="S1" s="6" t="inlineStr">
        <is>
          <t>Stage score (0-5)</t>
        </is>
      </c>
      <c r="T1" s="6" t="inlineStr">
        <is>
          <t>Check size score (0-5)</t>
        </is>
      </c>
      <c r="U1" s="6" t="inlineStr">
        <is>
          <t>Warm path score (0-5)</t>
        </is>
      </c>
      <c r="V1" s="6" t="inlineStr">
        <is>
          <t>Activity score (0-5)</t>
        </is>
      </c>
      <c r="W1" s="6" t="inlineStr">
        <is>
          <t>Fit score</t>
        </is>
      </c>
      <c r="X1" s="6" t="inlineStr">
        <is>
          <t>Tier</t>
        </is>
      </c>
      <c r="Y1" s="6" t="inlineStr">
        <is>
          <t>Status</t>
        </is>
      </c>
      <c r="Z1" s="6" t="inlineStr">
        <is>
          <t>Owner</t>
        </is>
      </c>
      <c r="AA1" s="6" t="inlineStr">
        <is>
          <t>Next action</t>
        </is>
      </c>
      <c r="AB1" s="6" t="inlineStr">
        <is>
          <t>Last verified (YYYY-MM-DD)</t>
        </is>
      </c>
      <c r="AC1" s="6" t="inlineStr">
        <is>
          <t>Source URLs</t>
        </is>
      </c>
      <c r="AD1" s="6" t="inlineStr">
        <is>
          <t>Notes</t>
        </is>
      </c>
    </row>
    <row r="2">
      <c r="A2" s="7" t="inlineStr">
        <is>
          <t>Dimension Capital</t>
        </is>
      </c>
      <c r="B2" s="7" t="inlineStr">
        <is>
          <t>TechBio seed/early fund</t>
        </is>
      </c>
      <c r="C2" s="7" t="inlineStr">
        <is>
          <t>San Francisco / New York</t>
        </is>
      </c>
      <c r="D2" s="8" t="inlineStr">
        <is>
          <t>Fund III, $800M, closed Jul 2026 ($1.65B AUM)</t>
        </is>
      </c>
      <c r="E2" s="8" t="inlineStr">
        <is>
          <t>Seed and Series A, leads, life science x compute</t>
        </is>
      </c>
      <c r="F2" s="7" t="inlineStr">
        <is>
          <t>Unknown</t>
        </is>
      </c>
      <c r="G2" s="7" t="inlineStr">
        <is>
          <t>Yes</t>
        </is>
      </c>
      <c r="H2" s="7" t="inlineStr">
        <is>
          <t>No</t>
        </is>
      </c>
      <c r="I2" s="8" t="inlineStr">
        <is>
          <t>Purpose-built for the life science x compute/AI intersection. Co-led $30M seed in Chai Discovery (AI drug-design models, 2024). Multiple computational-bio holdings.</t>
        </is>
      </c>
      <c r="J2" s="8" t="inlineStr">
        <is>
          <t>Explicit thesis that science and compute are converging; partners publish on TechBio/AI. Portfolio is AI-native.</t>
        </is>
      </c>
      <c r="K2" s="8" t="inlineStr">
        <is>
          <t>Chai Discovery (AI drug design, not a direct Foresight competitor).</t>
        </is>
      </c>
      <c r="L2" s="9" t="n">
        <v>0</v>
      </c>
      <c r="M2" s="8" t="inlineStr">
        <is>
          <t>Unknown</t>
        </is>
      </c>
      <c r="N2" s="7" t="inlineStr">
        <is>
          <t>Zavain Dar</t>
        </is>
      </c>
      <c r="O2" s="7" t="inlineStr">
        <is>
          <t>Co-Founder and Managing Partner</t>
        </is>
      </c>
      <c r="P2" s="8" t="inlineStr">
        <is>
          <t>Plausible via a Chai Discovery founder or shared tech-bio operator; no named node confirmed yet.</t>
        </is>
      </c>
      <c r="Q2" s="9" t="n">
        <v>5</v>
      </c>
      <c r="R2" s="9" t="n">
        <v>5</v>
      </c>
      <c r="S2" s="9" t="n">
        <v>5</v>
      </c>
      <c r="T2" s="9" t="n">
        <v>0</v>
      </c>
      <c r="U2" s="9" t="n">
        <v>2</v>
      </c>
      <c r="V2" s="9" t="n">
        <v>5</v>
      </c>
      <c r="W2" s="10">
        <f>MAX(0,ROUND(Q2/5*Weights!$B$3+R2/5*Weights!$B$4+S2/5*Weights!$B$5+T2/5*Weights!$B$6+U2/5*Weights!$B$7+V2/5*Weights!$B$8-L2*Weights!$B$9,0))</f>
        <v>84</v>
      </c>
      <c r="X2" s="10" t="str">
        <f>IF(W2&gt;=Weights!$B$12,"A",IF(W2&gt;=Weights!$B$13,"B","C"))</f>
        <v>A</v>
      </c>
      <c r="Y2" s="11" t="inlineStr">
        <is>
          <t>Not contacted</t>
        </is>
      </c>
      <c r="Z2" s="7" t="inlineStr">
        <is>
          <t>Nate</t>
        </is>
      </c>
      <c r="AA2" s="8" t="inlineStr">
        <is>
          <t>Map a named warm intro to Zavain Dar; confirm seed check band.</t>
        </is>
      </c>
      <c r="AB2" s="7" t="inlineStr">
        <is>
          <t>2026-09-30</t>
        </is>
      </c>
      <c r="AC2" s="8" t="inlineStr">
        <is>
          <t>https://techcrunch.com/2026/07/21/dimension-capitals-800m-third-fund-shows-the-intersection-of-science-and-compute-is-booming/; https://www.dimensioncap.com/</t>
        </is>
      </c>
      <c r="AD2" s="8" t="inlineStr">
        <is>
          <t>Highest-fit fund. Contact email inferred/unverified; firm general inbox contact@dimensioncap.com is verified. Do not confuse with Florida 'Dimension Capital Management'.</t>
        </is>
      </c>
    </row>
    <row r="3">
      <c r="A3" s="7" t="inlineStr">
        <is>
          <t>a16z Bio + Health</t>
        </is>
      </c>
      <c r="B3" s="7" t="inlineStr">
        <is>
          <t>Multistage platform, bio+health fund</t>
        </is>
      </c>
      <c r="C3" s="7" t="inlineStr">
        <is>
          <t>Menlo Park, CA</t>
        </is>
      </c>
      <c r="D3" s="8" t="inlineStr">
        <is>
          <t>Bio+Health funds active (size/vintage not re-verified)</t>
        </is>
      </c>
      <c r="E3" s="8" t="inlineStr">
        <is>
          <t>Seed to growth in AI-in-healthcare software; selective at seed</t>
        </is>
      </c>
      <c r="F3" s="7" t="inlineStr">
        <is>
          <t>Unknown</t>
        </is>
      </c>
      <c r="G3" s="7" t="inlineStr">
        <is>
          <t>Selective</t>
        </is>
      </c>
      <c r="H3" s="7" t="inlineStr">
        <is>
          <t>No</t>
        </is>
      </c>
      <c r="I3" s="8" t="inlineStr">
        <is>
          <t>Dedicated bio+health practice investing in AI-native healthcare/life-science software. Portfolio includes Hippocratic AI, Turquoise Health.</t>
        </is>
      </c>
      <c r="J3" s="8" t="inlineStr">
        <is>
          <t>Published AI-in-healthcare theses (2026); the broader a16z applied-AI franchise sits alongside.</t>
        </is>
      </c>
      <c r="K3" s="8" t="inlineStr">
        <is>
          <t>Hippocratic AI (clinical AI, not trial simulation).</t>
        </is>
      </c>
      <c r="L3" s="9" t="n">
        <v>0</v>
      </c>
      <c r="M3" s="8" t="inlineStr">
        <is>
          <t>Unknown</t>
        </is>
      </c>
      <c r="N3" s="7" t="inlineStr">
        <is>
          <t>Julie Yoo</t>
        </is>
      </c>
      <c r="O3" s="7" t="inlineStr">
        <is>
          <t>General Partner (alt: Jay Rughani, Partner)</t>
        </is>
      </c>
      <c r="P3" s="8" t="inlineStr">
        <is>
          <t>STRONG via DLA Piper (engaged counsel): partner Josh Seidenfeld personally led a16z's Prosper AI health-AI financing at DLA in 2026. Confirm the intro with Seidenfeld.</t>
        </is>
      </c>
      <c r="Q3" s="9" t="n">
        <v>5</v>
      </c>
      <c r="R3" s="9" t="n">
        <v>5</v>
      </c>
      <c r="S3" s="9" t="n">
        <v>4</v>
      </c>
      <c r="T3" s="9" t="n">
        <v>0</v>
      </c>
      <c r="U3" s="9" t="n">
        <v>4</v>
      </c>
      <c r="V3" s="9" t="n">
        <v>5</v>
      </c>
      <c r="W3" s="10">
        <f>MAX(0,ROUND(Q3/5*Weights!$B$3+R3/5*Weights!$B$4+S3/5*Weights!$B$5+T3/5*Weights!$B$6+U3/5*Weights!$B$7+V3/5*Weights!$B$8-L3*Weights!$B$9,0))</f>
        <v>84</v>
      </c>
      <c r="X3" s="10" t="str">
        <f>IF(W3&gt;=Weights!$B$12,"A",IF(W3&gt;=Weights!$B$13,"B","C"))</f>
        <v>A</v>
      </c>
      <c r="Y3" s="11" t="inlineStr">
        <is>
          <t>Not contacted</t>
        </is>
      </c>
      <c r="Z3" s="7" t="inlineStr">
        <is>
          <t>Nate</t>
        </is>
      </c>
      <c r="AA3" s="8" t="inlineStr">
        <is>
          <t>Ask Josh Seidenfeld (DLA Piper) for a direct intro to the bio+health team.</t>
        </is>
      </c>
      <c r="AB3" s="7" t="inlineStr">
        <is>
          <t>2026-09-30</t>
        </is>
      </c>
      <c r="AC3" s="8" t="inlineStr">
        <is>
          <t>https://a16z.com/infinite-healthcare-whats-it-worth/; https://www.dlapiper.com/en-us/news/2026/06/dla-piper-advises-andreessen-horowitz-on-usd30-million-investment-in-prosper-ai</t>
        </is>
      </c>
      <c r="AD3" s="8" t="inlineStr">
        <is>
          <t>Warm path via DLA Piper counsel (Seidenfeld led an a16z health-AI deal); score contingent on DLA making the intro. Emails inferred/unverified: julie@a16z.com (~55%) or jyoo@a16z.com (~62%).</t>
        </is>
      </c>
    </row>
    <row r="4">
      <c r="A4" s="7" t="inlineStr">
        <is>
          <t>Section 32</t>
        </is>
      </c>
      <c r="B4" s="7" t="inlineStr">
        <is>
          <t>Frontier tech + healthcare fund</t>
        </is>
      </c>
      <c r="C4" s="7" t="inlineStr">
        <is>
          <t>San Diego / Bay Area</t>
        </is>
      </c>
      <c r="D4" s="8" t="inlineStr">
        <is>
          <t>Active (fund size/vintage not re-verified)</t>
        </is>
      </c>
      <c r="E4" s="8" t="inlineStr">
        <is>
          <t>Seed onward across healthcare/life-sciences and frontier tech</t>
        </is>
      </c>
      <c r="F4" s="7" t="inlineStr">
        <is>
          <t>Unknown</t>
        </is>
      </c>
      <c r="G4" s="7" t="inlineStr">
        <is>
          <t>Selective</t>
        </is>
      </c>
      <c r="H4" s="7" t="inlineStr">
        <is>
          <t>No</t>
        </is>
      </c>
      <c r="I4" s="8" t="inlineStr">
        <is>
          <t>Healthcare/dx/life-sciences core; portfolio includes Freenome and precision-medicine companies. MP ran Foundation Medicine.</t>
        </is>
      </c>
      <c r="J4" s="8" t="inlineStr">
        <is>
          <t>AI + healthcare/data across the portfolio; named focus with evidence.</t>
        </is>
      </c>
      <c r="K4" s="8" t="inlineStr">
        <is>
          <t>Freenome (dx/AI, not a direct Foresight competitor).</t>
        </is>
      </c>
      <c r="L4" s="9" t="n">
        <v>0</v>
      </c>
      <c r="M4" s="8" t="inlineStr">
        <is>
          <t>Unknown</t>
        </is>
      </c>
      <c r="N4" s="7" t="inlineStr">
        <is>
          <t>Michael Pellini, MD</t>
        </is>
      </c>
      <c r="O4" s="7" t="inlineStr">
        <is>
          <t>Managing Partner</t>
        </is>
      </c>
      <c r="P4" s="8" t="inlineStr">
        <is>
          <t>Intro via a Foundation Medicine or Freenome alumnus; no named node confirmed.</t>
        </is>
      </c>
      <c r="Q4" s="9" t="n">
        <v>5</v>
      </c>
      <c r="R4" s="9" t="n">
        <v>4</v>
      </c>
      <c r="S4" s="9" t="n">
        <v>4</v>
      </c>
      <c r="T4" s="9" t="n">
        <v>0</v>
      </c>
      <c r="U4" s="9" t="n">
        <v>2</v>
      </c>
      <c r="V4" s="9" t="n">
        <v>4</v>
      </c>
      <c r="W4" s="10">
        <f>MAX(0,ROUND(Q4/5*Weights!$B$3+R4/5*Weights!$B$4+S4/5*Weights!$B$5+T4/5*Weights!$B$6+U4/5*Weights!$B$7+V4/5*Weights!$B$8-L4*Weights!$B$9,0))</f>
        <v>74</v>
      </c>
      <c r="X4" s="10" t="str">
        <f>IF(W4&gt;=Weights!$B$12,"A",IF(W4&gt;=Weights!$B$13,"B","C"))</f>
        <v>A</v>
      </c>
      <c r="Y4" s="11" t="inlineStr">
        <is>
          <t>Not contacted</t>
        </is>
      </c>
      <c r="Z4" s="7" t="inlineStr">
        <is>
          <t>Nate</t>
        </is>
      </c>
      <c r="AA4" s="8" t="inlineStr">
        <is>
          <t>Confirm a fresh 2025-26 deal to reference; find FMI/Freenome intro.</t>
        </is>
      </c>
      <c r="AB4" s="7" t="inlineStr">
        <is>
          <t>2026-09-30</t>
        </is>
      </c>
      <c r="AC4" s="8" t="inlineStr">
        <is>
          <t>https://www.crunchbase.com/person/michael-j-pellini; https://www.linkedin.com/in/michael-pellini-57a1b919/</t>
        </is>
      </c>
      <c r="AD4" s="8" t="inlineStr">
        <is>
          <t>Email inferred/unverified: michael@section32.com (~72%). Domain is section32.com.</t>
        </is>
      </c>
    </row>
    <row r="5">
      <c r="A5" s="7" t="inlineStr">
        <is>
          <t>Lux Capital</t>
        </is>
      </c>
      <c r="B5" s="7" t="inlineStr">
        <is>
          <t>Frontier science + tech fund</t>
        </is>
      </c>
      <c r="C5" s="7" t="inlineStr">
        <is>
          <t>New York / Menlo Park</t>
        </is>
      </c>
      <c r="D5" s="8" t="inlineStr">
        <is>
          <t>Active flagship (size/vintage not re-verified)</t>
        </is>
      </c>
      <c r="E5" s="8" t="inlineStr">
        <is>
          <t>Seed to early growth; frontier science and AI infra</t>
        </is>
      </c>
      <c r="F5" s="7" t="inlineStr">
        <is>
          <t>Unknown</t>
        </is>
      </c>
      <c r="G5" s="7" t="inlineStr">
        <is>
          <t>Yes</t>
        </is>
      </c>
      <c r="H5" s="7" t="inlineStr">
        <is>
          <t>No</t>
        </is>
      </c>
      <c r="I5" s="8" t="inlineStr">
        <is>
          <t>Frontier science + tech with a health/AI-infra bench. Shakir focuses on digital-health infrastructure and AI-health.</t>
        </is>
      </c>
      <c r="J5" s="8" t="inlineStr">
        <is>
          <t>Strong applied-AI and data-infra practice plus a published frontier-tech thesis; portfolio follows.</t>
        </is>
      </c>
      <c r="K5" s="8" t="inlineStr">
        <is>
          <t>None competing directly with Foresight/iViz identified.</t>
        </is>
      </c>
      <c r="L5" s="9" t="n">
        <v>0</v>
      </c>
      <c r="M5" s="8" t="inlineStr">
        <is>
          <t>Unknown</t>
        </is>
      </c>
      <c r="N5" s="7" t="inlineStr">
        <is>
          <t>Deena Shakir</t>
        </is>
      </c>
      <c r="O5" s="7" t="inlineStr">
        <is>
          <t>General Partner</t>
        </is>
      </c>
      <c r="P5" s="8" t="inlineStr">
        <is>
          <t>PLAUSIBLE via DLA Piper: SF partner Jonathan Axelrad represents Lux in financings; intro would hand off from Seidenfeld to Axelrad. Confirm with DLA.</t>
        </is>
      </c>
      <c r="Q5" s="9" t="n">
        <v>5</v>
      </c>
      <c r="R5" s="9" t="n">
        <v>5</v>
      </c>
      <c r="S5" s="9" t="n">
        <v>4</v>
      </c>
      <c r="T5" s="9" t="n">
        <v>0</v>
      </c>
      <c r="U5" s="9" t="n">
        <v>3</v>
      </c>
      <c r="V5" s="9" t="n">
        <v>4</v>
      </c>
      <c r="W5" s="10">
        <f>MAX(0,ROUND(Q5/5*Weights!$B$3+R5/5*Weights!$B$4+S5/5*Weights!$B$5+T5/5*Weights!$B$6+U5/5*Weights!$B$7+V5/5*Weights!$B$8-L5*Weights!$B$9,0))</f>
        <v>80</v>
      </c>
      <c r="X5" s="10" t="str">
        <f>IF(W5&gt;=Weights!$B$12,"A",IF(W5&gt;=Weights!$B$13,"B","C"))</f>
        <v>A</v>
      </c>
      <c r="Y5" s="11" t="inlineStr">
        <is>
          <t>Not contacted</t>
        </is>
      </c>
      <c r="Z5" s="7" t="inlineStr">
        <is>
          <t>Nate</t>
        </is>
      </c>
      <c r="AA5" s="8" t="inlineStr">
        <is>
          <t>Ask DLA (Axelrad) about a Lux intro to Deena Shakir; verify email.</t>
        </is>
      </c>
      <c r="AB5" s="7" t="inlineStr">
        <is>
          <t>2026-09-30</t>
        </is>
      </c>
      <c r="AC5" s="8" t="inlineStr">
        <is>
          <t>https://www.luxcapital.com/people; https://www.dlapiper.com/en/people/a/jonathan-axelrad</t>
        </is>
      </c>
      <c r="AD5" s="8" t="inlineStr">
        <is>
          <t>Adam Goulburn is at Dimension, NOT Lux. Warm path via DLA partner Axelrad (represents Lux); contingent on the hand-off. Email inferred/unverified: deena.shakir@luxcapital.com (pattern first.last ~90%).</t>
        </is>
      </c>
    </row>
    <row r="6">
      <c r="A6" s="7" t="inlineStr">
        <is>
          <t>Foresite Capital</t>
        </is>
      </c>
      <c r="B6" s="7" t="inlineStr">
        <is>
          <t>Healthcare + life-science infrastructure fund</t>
        </is>
      </c>
      <c r="C6" s="7" t="inlineStr">
        <is>
          <t>San Francisco, CA</t>
        </is>
      </c>
      <c r="D6" s="8" t="inlineStr">
        <is>
          <t>Fund VI, $900M, closed Jun 2024</t>
        </is>
      </c>
      <c r="E6" s="8" t="inlineStr">
        <is>
          <t>Seed to growth; precision medicine and LS infrastructure</t>
        </is>
      </c>
      <c r="F6" s="7" t="inlineStr">
        <is>
          <t>Unknown</t>
        </is>
      </c>
      <c r="G6" s="7" t="inlineStr">
        <is>
          <t>Selective</t>
        </is>
      </c>
      <c r="H6" s="7" t="inlineStr">
        <is>
          <t>No</t>
        </is>
      </c>
      <c r="I6" s="8" t="inlineStr">
        <is>
          <t>Precision medicine + LS infrastructure; co-led ~$1B Xaira Therapeutics (Apr 2024). Foresite Labs incubates data-driven health companies.</t>
        </is>
      </c>
      <c r="J6" s="8" t="inlineStr">
        <is>
          <t>ML/genetics-native; Bajaj is a data-science MD/PhD (ex-Verily/Grail). More bio than pure applied-AI.</t>
        </is>
      </c>
      <c r="K6" s="8" t="inlineStr">
        <is>
          <t>Xaira (AI drug discovery, not clinical trial simulation).</t>
        </is>
      </c>
      <c r="L6" s="9" t="n">
        <v>0</v>
      </c>
      <c r="M6" s="8" t="inlineStr">
        <is>
          <t>Unknown</t>
        </is>
      </c>
      <c r="N6" s="7" t="inlineStr">
        <is>
          <t>Vik Bajaj, PhD</t>
        </is>
      </c>
      <c r="O6" s="7" t="inlineStr">
        <is>
          <t>Managing Director; Co-Founder/CEO Foresite Labs</t>
        </is>
      </c>
      <c r="P6" s="8" t="inlineStr">
        <is>
          <t>Foresite Labs network; no named node confirmed.</t>
        </is>
      </c>
      <c r="Q6" s="9" t="n">
        <v>5</v>
      </c>
      <c r="R6" s="9" t="n">
        <v>4</v>
      </c>
      <c r="S6" s="9" t="n">
        <v>3</v>
      </c>
      <c r="T6" s="9" t="n">
        <v>0</v>
      </c>
      <c r="U6" s="9" t="n">
        <v>2</v>
      </c>
      <c r="V6" s="9" t="n">
        <v>5</v>
      </c>
      <c r="W6" s="10">
        <f>MAX(0,ROUND(Q6/5*Weights!$B$3+R6/5*Weights!$B$4+S6/5*Weights!$B$5+T6/5*Weights!$B$6+U6/5*Weights!$B$7+V6/5*Weights!$B$8-L6*Weights!$B$9,0))</f>
        <v>72</v>
      </c>
      <c r="X6" s="10" t="str">
        <f>IF(W6&gt;=Weights!$B$12,"A",IF(W6&gt;=Weights!$B$13,"B","C"))</f>
        <v>A</v>
      </c>
      <c r="Y6" s="11" t="inlineStr">
        <is>
          <t>Not contacted</t>
        </is>
      </c>
      <c r="Z6" s="7" t="inlineStr">
        <is>
          <t>Nate</t>
        </is>
      </c>
      <c r="AA6" s="8" t="inlineStr">
        <is>
          <t>Confirm email local-part (vik vs vikram); find Labs intro.</t>
        </is>
      </c>
      <c r="AB6" s="7" t="inlineStr">
        <is>
          <t>2026-09-30</t>
        </is>
      </c>
      <c r="AC6" s="8" t="inlineStr">
        <is>
          <t>https://www.biopharmadive.com/news/foresite-950-million-fund-vi-venture-capital/718617/; https://www.foresitecapital.com/</t>
        </is>
      </c>
      <c r="AD6" s="8" t="inlineStr">
        <is>
          <t>Email inferred/unverified: vik.bajaj@foresitecapital.com (~68%); vik vs vikram ambiguous.</t>
        </is>
      </c>
    </row>
    <row r="7">
      <c r="A7" s="7" t="inlineStr">
        <is>
          <t>Khosla Ventures</t>
        </is>
      </c>
      <c r="B7" s="7" t="inlineStr">
        <is>
          <t>Multistage, AI-forward fund</t>
        </is>
      </c>
      <c r="C7" s="7" t="inlineStr">
        <is>
          <t>Menlo Park, CA</t>
        </is>
      </c>
      <c r="D7" s="8" t="inlineStr">
        <is>
          <t>Active (size/vintage not re-verified)</t>
        </is>
      </c>
      <c r="E7" s="8" t="inlineStr">
        <is>
          <t>Seed to growth; AI-forward, seed-friendly</t>
        </is>
      </c>
      <c r="F7" s="7" t="inlineStr">
        <is>
          <t>Unknown</t>
        </is>
      </c>
      <c r="G7" s="7" t="inlineStr">
        <is>
          <t>Yes</t>
        </is>
      </c>
      <c r="H7" s="7" t="inlineStr">
        <is>
          <t>No</t>
        </is>
      </c>
      <c r="I7" s="8" t="inlineStr">
        <is>
          <t>Bio + healthcare investing with a physician-scientist partner; led $50M Series B in Rad AI (2024).</t>
        </is>
      </c>
      <c r="J7" s="8" t="inlineStr">
        <is>
          <t>AI-forward across the firm; deep applied-AI portfolio.</t>
        </is>
      </c>
      <c r="K7" s="8" t="inlineStr">
        <is>
          <t>Rad AI (radiology AI, not trial simulation).</t>
        </is>
      </c>
      <c r="L7" s="9" t="n">
        <v>0</v>
      </c>
      <c r="M7" s="8" t="inlineStr">
        <is>
          <t>Unknown</t>
        </is>
      </c>
      <c r="N7" s="7" t="inlineStr">
        <is>
          <t>Alex Morgan, MD/PhD</t>
        </is>
      </c>
      <c r="O7" s="7" t="inlineStr">
        <is>
          <t>Partner</t>
        </is>
      </c>
      <c r="P7" s="8" t="inlineStr">
        <is>
          <t>LinkedIn or portfolio founder; no named node confirmed.</t>
        </is>
      </c>
      <c r="Q7" s="9" t="n">
        <v>4</v>
      </c>
      <c r="R7" s="9" t="n">
        <v>5</v>
      </c>
      <c r="S7" s="9" t="n">
        <v>4</v>
      </c>
      <c r="T7" s="9" t="n">
        <v>0</v>
      </c>
      <c r="U7" s="9" t="n">
        <v>2</v>
      </c>
      <c r="V7" s="9" t="n">
        <v>4</v>
      </c>
      <c r="W7" s="10">
        <f>MAX(0,ROUND(Q7/5*Weights!$B$3+R7/5*Weights!$B$4+S7/5*Weights!$B$5+T7/5*Weights!$B$6+U7/5*Weights!$B$7+V7/5*Weights!$B$8-L7*Weights!$B$9,0))</f>
        <v>72</v>
      </c>
      <c r="X7" s="10" t="str">
        <f>IF(W7&gt;=Weights!$B$12,"A",IF(W7&gt;=Weights!$B$13,"B","C"))</f>
        <v>A</v>
      </c>
      <c r="Y7" s="11" t="inlineStr">
        <is>
          <t>Not contacted</t>
        </is>
      </c>
      <c r="Z7" s="7" t="inlineStr">
        <is>
          <t>Nate</t>
        </is>
      </c>
      <c r="AA7" s="8" t="inlineStr">
        <is>
          <t>Verify email (am@ vs alex@); find intro.</t>
        </is>
      </c>
      <c r="AB7" s="7" t="inlineStr">
        <is>
          <t>2026-09-30</t>
        </is>
      </c>
      <c r="AC7" s="8" t="inlineStr">
        <is>
          <t>https://www.radai.com/news/rad-ai-closes-50-million-to-empower-physicians-with-ai; https://www.khoslaventures.com/team/alex-morgan</t>
        </is>
      </c>
      <c r="AD7" s="8" t="inlineStr">
        <is>
          <t>Email inferred/unverified: am@khoslaventures.com (~61%) or alex@khoslaventures.com.</t>
        </is>
      </c>
    </row>
    <row r="8">
      <c r="A8" s="7" t="inlineStr">
        <is>
          <t>DCVC Bio</t>
        </is>
      </c>
      <c r="B8" s="7" t="inlineStr">
        <is>
          <t>Computational-bio fund</t>
        </is>
      </c>
      <c r="C8" s="7" t="inlineStr">
        <is>
          <t>Palo Alto, CA</t>
        </is>
      </c>
      <c r="D8" s="8" t="inlineStr">
        <is>
          <t>DCVC Bio III, ~$700M+, 2024</t>
        </is>
      </c>
      <c r="E8" s="8" t="inlineStr">
        <is>
          <t>Seed to early; computational biology (therapeutics-leaning)</t>
        </is>
      </c>
      <c r="F8" s="7" t="inlineStr">
        <is>
          <t>Unknown</t>
        </is>
      </c>
      <c r="G8" s="7" t="inlineStr">
        <is>
          <t>Selective</t>
        </is>
      </c>
      <c r="H8" s="7" t="inlineStr">
        <is>
          <t>No</t>
        </is>
      </c>
      <c r="I8" s="8" t="inlineStr">
        <is>
          <t>Computational/data-driven biology across drug development. Recent deals (Sidewinder, Radionetics, Latus Bio) lean therapeutics/deep-tech, not clinical software.</t>
        </is>
      </c>
      <c r="J8" s="8" t="inlineStr">
        <is>
          <t>Data/AI-native at the platform level; DCVC core (non-Bio) fund does more AI/data software.</t>
        </is>
      </c>
      <c r="K8" s="8" t="inlineStr">
        <is>
          <t>None competing directly with Foresight/iViz identified.</t>
        </is>
      </c>
      <c r="L8" s="9" t="n">
        <v>0</v>
      </c>
      <c r="M8" s="8" t="inlineStr">
        <is>
          <t>Unknown</t>
        </is>
      </c>
      <c r="N8" s="7" t="inlineStr">
        <is>
          <t>Kiersten Stead</t>
        </is>
      </c>
      <c r="O8" s="7" t="inlineStr">
        <is>
          <t>Managing Partner, DCVC Bio</t>
        </is>
      </c>
      <c r="P8" s="8" t="inlineStr">
        <is>
          <t>LinkedIn; consider a DCVC core partner for the software angle. No named node.</t>
        </is>
      </c>
      <c r="Q8" s="9" t="n">
        <v>5</v>
      </c>
      <c r="R8" s="9" t="n">
        <v>4</v>
      </c>
      <c r="S8" s="9" t="n">
        <v>3</v>
      </c>
      <c r="T8" s="9" t="n">
        <v>0</v>
      </c>
      <c r="U8" s="9" t="n">
        <v>2</v>
      </c>
      <c r="V8" s="9" t="n">
        <v>4</v>
      </c>
      <c r="W8" s="10">
        <f>MAX(0,ROUND(Q8/5*Weights!$B$3+R8/5*Weights!$B$4+S8/5*Weights!$B$5+T8/5*Weights!$B$6+U8/5*Weights!$B$7+V8/5*Weights!$B$8-L8*Weights!$B$9,0))</f>
        <v>70</v>
      </c>
      <c r="X8" s="10" t="str">
        <f>IF(W8&gt;=Weights!$B$12,"A",IF(W8&gt;=Weights!$B$13,"B","C"))</f>
        <v>A</v>
      </c>
      <c r="Y8" s="11" t="inlineStr">
        <is>
          <t>Not contacted</t>
        </is>
      </c>
      <c r="Z8" s="7" t="inlineStr">
        <is>
          <t>Nate</t>
        </is>
      </c>
      <c r="AA8" s="8" t="inlineStr">
        <is>
          <t>Decide Bio vs core-fund partner; verify email.</t>
        </is>
      </c>
      <c r="AB8" s="7" t="inlineStr">
        <is>
          <t>2026-09-30</t>
        </is>
      </c>
      <c r="AC8" s="8" t="inlineStr">
        <is>
          <t>https://vcwire.tech/2024/10/01/dcvc-closes-over-700m-in-new-funds/; https://www.dcvc.com/team/kiersten-stead/</t>
        </is>
      </c>
      <c r="AD8" s="8" t="inlineStr">
        <is>
          <t>Borderline Tier A; therapeutics lean makes a software seed less certain. Email inferred: kiersten@dcvc.com or kiersten.stead@dcvc.com.</t>
        </is>
      </c>
    </row>
    <row r="9">
      <c r="A9" s="7" t="inlineStr">
        <is>
          <t>Menlo Ventures</t>
        </is>
      </c>
      <c r="B9" s="7" t="inlineStr">
        <is>
          <t>Multistage fund with bio+healthcare practice</t>
        </is>
      </c>
      <c r="C9" s="7" t="inlineStr">
        <is>
          <t>Menlo Park, CA</t>
        </is>
      </c>
      <c r="D9" s="8" t="inlineStr">
        <is>
          <t>Active flagship + Anthology (size/vintage not re-verified)</t>
        </is>
      </c>
      <c r="E9" s="8" t="inlineStr">
        <is>
          <t>Seed to growth; leads Series A/B more than seed</t>
        </is>
      </c>
      <c r="F9" s="7" t="inlineStr">
        <is>
          <t>Unknown</t>
        </is>
      </c>
      <c r="G9" s="7" t="inlineStr">
        <is>
          <t>Selective</t>
        </is>
      </c>
      <c r="H9" s="7" t="inlineStr">
        <is>
          <t>No</t>
        </is>
      </c>
      <c r="I9" s="8" t="inlineStr">
        <is>
          <t>Dedicated Bio+Healthcare practice; led $70M Series A in Chai Discovery (AI molecular design, 2025).</t>
        </is>
      </c>
      <c r="J9" s="8" t="inlineStr">
        <is>
          <t>Major AI thesis (early Anthropic backer); strong AI-native portfolio.</t>
        </is>
      </c>
      <c r="K9" s="8" t="inlineStr">
        <is>
          <t>Chai Discovery (AI drug design, not trial simulation).</t>
        </is>
      </c>
      <c r="L9" s="9" t="n">
        <v>0</v>
      </c>
      <c r="M9" s="8" t="inlineStr">
        <is>
          <t>Unknown</t>
        </is>
      </c>
      <c r="N9" s="7" t="inlineStr">
        <is>
          <t>Greg Yap</t>
        </is>
      </c>
      <c r="O9" s="7" t="inlineStr">
        <is>
          <t>Partner (life-science tech, digital health)</t>
        </is>
      </c>
      <c r="P9" s="8" t="inlineStr">
        <is>
          <t>Menlo LS portfolio CEO; no named node confirmed.</t>
        </is>
      </c>
      <c r="Q9" s="9" t="n">
        <v>4</v>
      </c>
      <c r="R9" s="9" t="n">
        <v>5</v>
      </c>
      <c r="S9" s="9" t="n">
        <v>3</v>
      </c>
      <c r="T9" s="9" t="n">
        <v>0</v>
      </c>
      <c r="U9" s="9" t="n">
        <v>2</v>
      </c>
      <c r="V9" s="9" t="n">
        <v>4</v>
      </c>
      <c r="W9" s="10">
        <f>MAX(0,ROUND(Q9/5*Weights!$B$3+R9/5*Weights!$B$4+S9/5*Weights!$B$5+T9/5*Weights!$B$6+U9/5*Weights!$B$7+V9/5*Weights!$B$8-L9*Weights!$B$9,0))</f>
        <v>68</v>
      </c>
      <c r="X9" s="10" t="str">
        <f>IF(W9&gt;=Weights!$B$12,"A",IF(W9&gt;=Weights!$B$13,"B","C"))</f>
        <v>B</v>
      </c>
      <c r="Y9" s="11" t="inlineStr">
        <is>
          <t>Not contacted</t>
        </is>
      </c>
      <c r="Z9" s="7" t="inlineStr">
        <is>
          <t>Nate</t>
        </is>
      </c>
      <c r="AA9" s="8" t="inlineStr">
        <is>
          <t>Confirm seed appetite (they lean A); find intro to Yap.</t>
        </is>
      </c>
      <c r="AB9" s="7" t="inlineStr">
        <is>
          <t>2026-09-30</t>
        </is>
      </c>
      <c r="AC9" s="8" t="inlineStr">
        <is>
          <t>https://www.pharmexec.com/view/menlo-ventures-led-70-million-series-a-fundraiser-chai-discovery-transform-molecular-design; https://menlovc.com/team/greg-yap/</t>
        </is>
      </c>
      <c r="AD9" s="8" t="inlineStr">
        <is>
          <t>Email inferred/unverified: greg@menlovc.com (~79%).</t>
        </is>
      </c>
    </row>
    <row r="10">
      <c r="A10" s="7" t="inlineStr">
        <is>
          <t>8VC</t>
        </is>
      </c>
      <c r="B10" s="7" t="inlineStr">
        <is>
          <t>Tech + life-sciences fund</t>
        </is>
      </c>
      <c r="C10" s="7" t="inlineStr">
        <is>
          <t>Austin / San Francisco</t>
        </is>
      </c>
      <c r="D10" s="8" t="inlineStr">
        <is>
          <t>Active multistage (size/vintage not re-verified)</t>
        </is>
      </c>
      <c r="E10" s="8" t="inlineStr">
        <is>
          <t>Pre-seed to Series A, leads; healthcare-data infrastructure</t>
        </is>
      </c>
      <c r="F10" s="7" t="inlineStr">
        <is>
          <t>Unknown</t>
        </is>
      </c>
      <c r="G10" s="7" t="inlineStr">
        <is>
          <t>Yes</t>
        </is>
      </c>
      <c r="H10" s="7" t="inlineStr">
        <is>
          <t>No</t>
        </is>
      </c>
      <c r="I10" s="8" t="inlineStr">
        <is>
          <t>Healthcare data-infrastructure and health-IT thesis; comfortable with enterprise health SaaS mapping to Coharts pharma/CRO buyers.</t>
        </is>
      </c>
      <c r="J10" s="8" t="inlineStr">
        <is>
          <t>AI named focus with portfolio evidence, not a pure AI-thesis fund.</t>
        </is>
      </c>
      <c r="K10" s="8" t="inlineStr">
        <is>
          <t>None competing directly with Foresight/iViz identified.</t>
        </is>
      </c>
      <c r="L10" s="9" t="n">
        <v>0</v>
      </c>
      <c r="M10" s="8" t="inlineStr">
        <is>
          <t>Unknown</t>
        </is>
      </c>
      <c r="N10" s="7" t="inlineStr">
        <is>
          <t>Kimmy Scotti</t>
        </is>
      </c>
      <c r="O10" s="7" t="inlineStr">
        <is>
          <t>Founding Partner (healthcare)</t>
        </is>
      </c>
      <c r="P10" s="8" t="inlineStr">
        <is>
          <t>LinkedIn or portfolio founder; no named node confirmed.</t>
        </is>
      </c>
      <c r="Q10" s="9" t="n">
        <v>4</v>
      </c>
      <c r="R10" s="9" t="n">
        <v>3</v>
      </c>
      <c r="S10" s="9" t="n">
        <v>4</v>
      </c>
      <c r="T10" s="9" t="n">
        <v>0</v>
      </c>
      <c r="U10" s="9" t="n">
        <v>2</v>
      </c>
      <c r="V10" s="9" t="n">
        <v>4</v>
      </c>
      <c r="W10" s="10">
        <f>MAX(0,ROUND(Q10/5*Weights!$B$3+R10/5*Weights!$B$4+S10/5*Weights!$B$5+T10/5*Weights!$B$6+U10/5*Weights!$B$7+V10/5*Weights!$B$8-L10*Weights!$B$9,0))</f>
        <v>64</v>
      </c>
      <c r="X10" s="10" t="str">
        <f>IF(W10&gt;=Weights!$B$12,"A",IF(W10&gt;=Weights!$B$13,"B","C"))</f>
        <v>B</v>
      </c>
      <c r="Y10" s="11" t="inlineStr">
        <is>
          <t>Not contacted</t>
        </is>
      </c>
      <c r="Z10" s="7" t="inlineStr">
        <is>
          <t>Nate</t>
        </is>
      </c>
      <c r="AA10" s="8" t="inlineStr">
        <is>
          <t>Confirm a fresh clinical-software deal; verify email.</t>
        </is>
      </c>
      <c r="AB10" s="7" t="inlineStr">
        <is>
          <t>2026-09-30</t>
        </is>
      </c>
      <c r="AC10" s="8" t="inlineStr">
        <is>
          <t>https://signal.nfx.com/investors/kimmy-scotti; https://8vc.com/contact</t>
        </is>
      </c>
      <c r="AD10" s="8" t="inlineStr">
        <is>
          <t>Infra fit strengthens: enterprise health-data infrastructure / system-of-record is squarely 8VC's lane. Email inferred/unverified: kimmy@8vc.com (~76%). For enterprise clinical-data, 8VC bio team may co-fit.</t>
        </is>
      </c>
    </row>
    <row r="11">
      <c r="A11" s="7" t="inlineStr">
        <is>
          <t>GV (Google Ventures)</t>
        </is>
      </c>
      <c r="B11" s="7" t="inlineStr">
        <is>
          <t>Corporate multistage fund</t>
        </is>
      </c>
      <c r="C11" s="7" t="inlineStr">
        <is>
          <t>Mountain View, CA</t>
        </is>
      </c>
      <c r="D11" s="8" t="inlineStr">
        <is>
          <t>Evergreen (Alphabet-backed)</t>
        </is>
      </c>
      <c r="E11" s="8" t="inlineStr">
        <is>
          <t>Seed to growth; life sciences and health co-led</t>
        </is>
      </c>
      <c r="F11" s="7" t="inlineStr">
        <is>
          <t>Unknown</t>
        </is>
      </c>
      <c r="G11" s="7" t="inlineStr">
        <is>
          <t>Selective</t>
        </is>
      </c>
      <c r="H11" s="7" t="inlineStr">
        <is>
          <t>No</t>
        </is>
      </c>
      <c r="I11" s="8" t="inlineStr">
        <is>
          <t>Physician-CS GP co-leads a deep life-sciences group; digital health, diagnostics, AI-in-healthcare (Flatiron, Verve incubation history).</t>
        </is>
      </c>
      <c r="J11" s="8" t="inlineStr">
        <is>
          <t>AI is a named focus with portfolio evidence across the firm.</t>
        </is>
      </c>
      <c r="K11" s="8" t="inlineStr">
        <is>
          <t>None competing directly with Foresight/iViz identified.</t>
        </is>
      </c>
      <c r="L11" s="9" t="n">
        <v>0</v>
      </c>
      <c r="M11" s="8" t="inlineStr">
        <is>
          <t>Unknown</t>
        </is>
      </c>
      <c r="N11" s="7" t="inlineStr">
        <is>
          <t>Krishna Yeshwant, MD</t>
        </is>
      </c>
      <c r="O11" s="7" t="inlineStr">
        <is>
          <t>Managing Partner / co-lead Life Sciences</t>
        </is>
      </c>
      <c r="P11" s="8" t="inlineStr">
        <is>
          <t>Portfolio founder or LinkedIn; no named node confirmed.</t>
        </is>
      </c>
      <c r="Q11" s="9" t="n">
        <v>5</v>
      </c>
      <c r="R11" s="9" t="n">
        <v>3</v>
      </c>
      <c r="S11" s="9" t="n">
        <v>3</v>
      </c>
      <c r="T11" s="9" t="n">
        <v>0</v>
      </c>
      <c r="U11" s="9" t="n">
        <v>2</v>
      </c>
      <c r="V11" s="9" t="n">
        <v>4</v>
      </c>
      <c r="W11" s="10">
        <f>MAX(0,ROUND(Q11/5*Weights!$B$3+R11/5*Weights!$B$4+S11/5*Weights!$B$5+T11/5*Weights!$B$6+U11/5*Weights!$B$7+V11/5*Weights!$B$8-L11*Weights!$B$9,0))</f>
        <v>66</v>
      </c>
      <c r="X11" s="10" t="str">
        <f>IF(W11&gt;=Weights!$B$12,"A",IF(W11&gt;=Weights!$B$13,"B","C"))</f>
        <v>B</v>
      </c>
      <c r="Y11" s="11" t="inlineStr">
        <is>
          <t>Not contacted</t>
        </is>
      </c>
      <c r="Z11" s="7" t="inlineStr">
        <is>
          <t>Nate</t>
        </is>
      </c>
      <c r="AA11" s="8" t="inlineStr">
        <is>
          <t>Pull a 2025-26 LS deal to reference; verify email.</t>
        </is>
      </c>
      <c r="AB11" s="7" t="inlineStr">
        <is>
          <t>2026-09-30</t>
        </is>
      </c>
      <c r="AC11" s="8" t="inlineStr">
        <is>
          <t>https://www.gv.com/team/krishna-yeshwant; https://www.linkedin.com/in/kcyeshwant/</t>
        </is>
      </c>
      <c r="AD11" s="8" t="inlineStr">
        <is>
          <t>Email inferred/unverified and low-confidence: krishna@gv.com (pattern first@ only ~37%, 8 formats).</t>
        </is>
      </c>
    </row>
    <row r="12">
      <c r="A12" s="7" t="inlineStr">
        <is>
          <t>Breyer Capital</t>
        </is>
      </c>
      <c r="B12" s="7" t="inlineStr">
        <is>
          <t>Multistage fund building HC/LS practice</t>
        </is>
      </c>
      <c r="C12" s="7" t="inlineStr">
        <is>
          <t>Austin / Menlo Park</t>
        </is>
      </c>
      <c r="D12" s="8" t="inlineStr">
        <is>
          <t>Active (size/vintage not re-verified)</t>
        </is>
      </c>
      <c r="E12" s="8" t="inlineStr">
        <is>
          <t>Early-stage biomedical + AI; new healthcare mandate</t>
        </is>
      </c>
      <c r="F12" s="7" t="inlineStr">
        <is>
          <t>Unknown</t>
        </is>
      </c>
      <c r="G12" s="7" t="inlineStr">
        <is>
          <t>Selective</t>
        </is>
      </c>
      <c r="H12" s="7" t="inlineStr">
        <is>
          <t>No</t>
        </is>
      </c>
      <c r="I12" s="8" t="inlineStr">
        <is>
          <t>New, well-capitalized HC/LS mandate. Cheatham (hired Apr 2025) sourced Abridge and Hinge Health at Bessemer.</t>
        </is>
      </c>
      <c r="J12" s="8" t="inlineStr">
        <is>
          <t>Breyer is a longtime AI investor; Cheatham drives a healthcare-AI thesis.</t>
        </is>
      </c>
      <c r="K12" s="8" t="inlineStr">
        <is>
          <t>None competing directly with Foresight/iViz identified.</t>
        </is>
      </c>
      <c r="L12" s="9" t="n">
        <v>0</v>
      </c>
      <c r="M12" s="8" t="inlineStr">
        <is>
          <t>Unknown</t>
        </is>
      </c>
      <c r="N12" s="7" t="inlineStr">
        <is>
          <t>Morgan Cheatham, MD</t>
        </is>
      </c>
      <c r="O12" s="7" t="inlineStr">
        <is>
          <t>Partner and Head of Healthcare and Life Sciences</t>
        </is>
      </c>
      <c r="P12" s="8" t="inlineStr">
        <is>
          <t>LinkedIn; Cheatham runs public healthcare content, an engagement warm-up. No named node.</t>
        </is>
      </c>
      <c r="Q12" s="9" t="n">
        <v>3</v>
      </c>
      <c r="R12" s="9" t="n">
        <v>4</v>
      </c>
      <c r="S12" s="9" t="n">
        <v>3</v>
      </c>
      <c r="T12" s="9" t="n">
        <v>0</v>
      </c>
      <c r="U12" s="9" t="n">
        <v>2</v>
      </c>
      <c r="V12" s="9" t="n">
        <v>4</v>
      </c>
      <c r="W12" s="10">
        <f>MAX(0,ROUND(Q12/5*Weights!$B$3+R12/5*Weights!$B$4+S12/5*Weights!$B$5+T12/5*Weights!$B$6+U12/5*Weights!$B$7+V12/5*Weights!$B$8-L12*Weights!$B$9,0))</f>
        <v>58</v>
      </c>
      <c r="X12" s="10" t="str">
        <f>IF(W12&gt;=Weights!$B$12,"A",IF(W12&gt;=Weights!$B$13,"B","C"))</f>
        <v>B</v>
      </c>
      <c r="Y12" s="11" t="inlineStr">
        <is>
          <t>Not contacted</t>
        </is>
      </c>
      <c r="Z12" s="7" t="inlineStr">
        <is>
          <t>Nate</t>
        </is>
      </c>
      <c r="AA12" s="8" t="inlineStr">
        <is>
          <t>Verify email via LinkedIn; confirm HC/LS check appetite.</t>
        </is>
      </c>
      <c r="AB12" s="7" t="inlineStr">
        <is>
          <t>2026-09-30</t>
        </is>
      </c>
      <c r="AC12" s="8" t="inlineStr">
        <is>
          <t>https://www.forbes.com/sites/sindhyavalloppillil/2025/04/24/billionaire-vc-jim-breyer-taps-morgan-cheatham-to-drive-the-future-of-healthcare-and-life-sciences/; https://www.linkedin.com/in/morgancheatham/</t>
        </is>
      </c>
      <c r="AD12" s="8" t="inlineStr">
        <is>
          <t>Cheatham left Bessemer (Apr 2025). Email pattern unconfirmed; use LinkedIn.</t>
        </is>
      </c>
    </row>
    <row r="13">
      <c r="A13" s="7" t="inlineStr">
        <is>
          <t>Obvious Ventures</t>
        </is>
      </c>
      <c r="B13" s="7" t="inlineStr">
        <is>
          <t>Seed/early world-positive fund</t>
        </is>
      </c>
      <c r="C13" s="7" t="inlineStr">
        <is>
          <t>San Francisco, CA</t>
        </is>
      </c>
      <c r="D13" s="8" t="inlineStr">
        <is>
          <t>Fund V, $360M, closed Jan 2026</t>
        </is>
      </c>
      <c r="E13" s="8" t="inlineStr">
        <is>
          <t>Seed and Series A, leads; $5M to $12M checks</t>
        </is>
      </c>
      <c r="F13" s="7" t="inlineStr">
        <is>
          <t>$5M to $12M (per firm materials; confirm)</t>
        </is>
      </c>
      <c r="G13" s="7" t="inlineStr">
        <is>
          <t>Yes</t>
        </is>
      </c>
      <c r="H13" s="7" t="inlineStr">
        <is>
          <t>No</t>
        </is>
      </c>
      <c r="I13" s="8" t="inlineStr">
        <is>
          <t>Human-health theme with some bio/science holdings; not a dedicated bio fund.</t>
        </is>
      </c>
      <c r="J13" s="8" t="inlineStr">
        <is>
          <t>Responsible-AI theme with portfolio evidence.</t>
        </is>
      </c>
      <c r="K13" s="8" t="inlineStr">
        <is>
          <t>None competing directly with Foresight/iViz identified.</t>
        </is>
      </c>
      <c r="L13" s="9" t="n">
        <v>0</v>
      </c>
      <c r="M13" s="8" t="inlineStr">
        <is>
          <t>Unknown</t>
        </is>
      </c>
      <c r="N13" s="7" t="inlineStr">
        <is>
          <t>James Joaquin</t>
        </is>
      </c>
      <c r="O13" s="7" t="inlineStr">
        <is>
          <t>Co-Founder and Managing Director</t>
        </is>
      </c>
      <c r="P13" s="8" t="inlineStr">
        <is>
          <t>LinkedIn or portfolio founder; no named node confirmed.</t>
        </is>
      </c>
      <c r="Q13" s="9" t="n">
        <v>3</v>
      </c>
      <c r="R13" s="9" t="n">
        <v>3</v>
      </c>
      <c r="S13" s="9" t="n">
        <v>4</v>
      </c>
      <c r="T13" s="9" t="n">
        <v>5</v>
      </c>
      <c r="U13" s="9" t="n">
        <v>2</v>
      </c>
      <c r="V13" s="9" t="n">
        <v>5</v>
      </c>
      <c r="W13" s="10">
        <f>MAX(0,ROUND(Q13/5*Weights!$B$3+R13/5*Weights!$B$4+S13/5*Weights!$B$5+T13/5*Weights!$B$6+U13/5*Weights!$B$7+V13/5*Weights!$B$8-L13*Weights!$B$9,0))</f>
        <v>70</v>
      </c>
      <c r="X13" s="10" t="str">
        <f>IF(W13&gt;=Weights!$B$12,"A",IF(W13&gt;=Weights!$B$13,"B","C"))</f>
        <v>A</v>
      </c>
      <c r="Y13" s="11" t="inlineStr">
        <is>
          <t>Not contacted</t>
        </is>
      </c>
      <c r="Z13" s="7" t="inlineStr">
        <is>
          <t>Nate</t>
        </is>
      </c>
      <c r="AA13" s="8" t="inlineStr">
        <is>
          <t>Verify email; confirm health-software recency. $5-12M checks lead a $6M seed cleanly.</t>
        </is>
      </c>
      <c r="AB13" s="7" t="inlineStr">
        <is>
          <t>2026-09-30</t>
        </is>
      </c>
      <c r="AC13" s="8" t="inlineStr">
        <is>
          <t>https://obvious.com/team/james-joaquin/; https://www.linkedin.com/in/jamesjoaquin</t>
        </is>
      </c>
      <c r="AD13" s="8" t="inlineStr">
        <is>
          <t>Check-size band published by the firm, so scored 3 rather than 0. Email inferred/unverified: james@obvious.com.</t>
        </is>
      </c>
    </row>
    <row r="14">
      <c r="A14" s="7" t="inlineStr">
        <is>
          <t>Zetta Venture Partners</t>
        </is>
      </c>
      <c r="B14" s="7" t="inlineStr">
        <is>
          <t>AI-first seed fund</t>
        </is>
      </c>
      <c r="C14" s="7" t="inlineStr">
        <is>
          <t>San Francisco, CA</t>
        </is>
      </c>
      <c r="D14" s="8" t="inlineStr">
        <is>
          <t>~$180M fund (vintage not re-verified)</t>
        </is>
      </c>
      <c r="E14" s="8" t="inlineStr">
        <is>
          <t>Pre-seed and Seed, leads; AI-first B2B</t>
        </is>
      </c>
      <c r="F14" s="7" t="inlineStr">
        <is>
          <t>Unknown</t>
        </is>
      </c>
      <c r="G14" s="7" t="inlineStr">
        <is>
          <t>Yes</t>
        </is>
      </c>
      <c r="H14" s="7" t="inlineStr">
        <is>
          <t>No</t>
        </is>
      </c>
      <c r="I14" s="8" t="inlineStr">
        <is>
          <t>AI-first generalist; health exposure via VideaHealth ($40M, Jan 2025). Not a dedicated bio fund.</t>
        </is>
      </c>
      <c r="J14" s="8" t="inlineStr">
        <is>
          <t>Explicit AI-first thesis (first believers in AI); portfolio demonstrably follows. Ideal for iViz as an AI-native data product.</t>
        </is>
      </c>
      <c r="K14" s="8" t="inlineStr">
        <is>
          <t>None competing directly with Foresight/iViz identified.</t>
        </is>
      </c>
      <c r="L14" s="9" t="n">
        <v>0</v>
      </c>
      <c r="M14" s="8" t="inlineStr">
        <is>
          <t>Unknown</t>
        </is>
      </c>
      <c r="N14" s="7" t="inlineStr">
        <is>
          <t>Jocelyn Goldfein</t>
        </is>
      </c>
      <c r="O14" s="7" t="inlineStr">
        <is>
          <t>Managing Director / General Partner</t>
        </is>
      </c>
      <c r="P14" s="8" t="inlineStr">
        <is>
          <t>LinkedIn; no named node confirmed.</t>
        </is>
      </c>
      <c r="Q14" s="9" t="n">
        <v>2</v>
      </c>
      <c r="R14" s="9" t="n">
        <v>5</v>
      </c>
      <c r="S14" s="9" t="n">
        <v>5</v>
      </c>
      <c r="T14" s="9" t="n">
        <v>0</v>
      </c>
      <c r="U14" s="9" t="n">
        <v>2</v>
      </c>
      <c r="V14" s="9" t="n">
        <v>4</v>
      </c>
      <c r="W14" s="10">
        <f>MAX(0,ROUND(Q14/5*Weights!$B$3+R14/5*Weights!$B$4+S14/5*Weights!$B$5+T14/5*Weights!$B$6+U14/5*Weights!$B$7+V14/5*Weights!$B$8-L14*Weights!$B$9,0))</f>
        <v>64</v>
      </c>
      <c r="X14" s="10" t="str">
        <f>IF(W14&gt;=Weights!$B$12,"A",IF(W14&gt;=Weights!$B$13,"B","C"))</f>
        <v>B</v>
      </c>
      <c r="Y14" s="11" t="inlineStr">
        <is>
          <t>Not contacted</t>
        </is>
      </c>
      <c r="Z14" s="7" t="inlineStr">
        <is>
          <t>Nate</t>
        </is>
      </c>
      <c r="AA14" s="8" t="inlineStr">
        <is>
          <t>Lead with iViz AI-native architecture; verify email/pattern.</t>
        </is>
      </c>
      <c r="AB14" s="7" t="inlineStr">
        <is>
          <t>2026-09-30</t>
        </is>
      </c>
      <c r="AC14" s="8" t="inlineStr">
        <is>
          <t>https://www.zettavp.com/team; https://www.caplight.com/investor/zettavp</t>
        </is>
      </c>
      <c r="AD14" s="8" t="inlineStr">
        <is>
          <t>Email inferred/unverified, low confidence: jocelyn@zettavp.com (pattern unconfirmed).</t>
        </is>
      </c>
    </row>
    <row r="15">
      <c r="A15" s="7" t="inlineStr">
        <is>
          <t>Two Sigma Ventures</t>
        </is>
      </c>
      <c r="B15" s="7" t="inlineStr">
        <is>
          <t>Data-science / ML-first fund</t>
        </is>
      </c>
      <c r="C15" s="7" t="inlineStr">
        <is>
          <t>New York, NY</t>
        </is>
      </c>
      <c r="D15" s="8" t="inlineStr">
        <is>
          <t>Active (size/vintage not re-verified)</t>
        </is>
      </c>
      <c r="E15" s="8" t="inlineStr">
        <is>
          <t>Seed and Series A; data-intensive B2B</t>
        </is>
      </c>
      <c r="F15" s="7" t="inlineStr">
        <is>
          <t>Unknown</t>
        </is>
      </c>
      <c r="G15" s="7" t="inlineStr">
        <is>
          <t>Selective</t>
        </is>
      </c>
      <c r="H15" s="7" t="inlineStr">
        <is>
          <t>No</t>
        </is>
      </c>
      <c r="I15" s="8" t="inlineStr">
        <is>
          <t>Healthcare x data-science line; portfolio includes insitro (ML + life-science data).</t>
        </is>
      </c>
      <c r="J15" s="8" t="inlineStr">
        <is>
          <t>Data-science/ML-first thesis; AI-native across the portfolio. Strong iViz fit.</t>
        </is>
      </c>
      <c r="K15" s="8" t="inlineStr">
        <is>
          <t>insitro (ML drug discovery, not trial simulation).</t>
        </is>
      </c>
      <c r="L15" s="9" t="n">
        <v>0</v>
      </c>
      <c r="M15" s="8" t="inlineStr">
        <is>
          <t>Unknown</t>
        </is>
      </c>
      <c r="N15" s="7" t="inlineStr">
        <is>
          <t>Dusan Perovic</t>
        </is>
      </c>
      <c r="O15" s="7" t="inlineStr">
        <is>
          <t>Partner (verify still at firm)</t>
        </is>
      </c>
      <c r="P15" s="8" t="inlineStr">
        <is>
          <t>LinkedIn; no named node confirmed.</t>
        </is>
      </c>
      <c r="Q15" s="9" t="n">
        <v>3</v>
      </c>
      <c r="R15" s="9" t="n">
        <v>5</v>
      </c>
      <c r="S15" s="9" t="n">
        <v>4</v>
      </c>
      <c r="T15" s="9" t="n">
        <v>0</v>
      </c>
      <c r="U15" s="9" t="n">
        <v>2</v>
      </c>
      <c r="V15" s="9" t="n">
        <v>3</v>
      </c>
      <c r="W15" s="10">
        <f>MAX(0,ROUND(Q15/5*Weights!$B$3+R15/5*Weights!$B$4+S15/5*Weights!$B$5+T15/5*Weights!$B$6+U15/5*Weights!$B$7+V15/5*Weights!$B$8-L15*Weights!$B$9,0))</f>
        <v>64</v>
      </c>
      <c r="X15" s="10" t="str">
        <f>IF(W15&gt;=Weights!$B$12,"A",IF(W15&gt;=Weights!$B$13,"B","C"))</f>
        <v>B</v>
      </c>
      <c r="Y15" s="11" t="inlineStr">
        <is>
          <t>Not contacted</t>
        </is>
      </c>
      <c r="Z15" s="7" t="inlineStr">
        <is>
          <t>Nate</t>
        </is>
      </c>
      <c r="AA15" s="8" t="inlineStr">
        <is>
          <t>Confirm Perovic is current and covers this; verify email pattern.</t>
        </is>
      </c>
      <c r="AB15" s="7" t="inlineStr">
        <is>
          <t>2026-09-30</t>
        </is>
      </c>
      <c r="AC15" s="8" t="inlineStr">
        <is>
          <t>https://twosigmaventures.com/our-focus/</t>
        </is>
      </c>
      <c r="AD15" s="8" t="inlineStr">
        <is>
          <t>Partner and email pattern unconfirmed; likely first@twosigmaventures.com.</t>
        </is>
      </c>
    </row>
    <row r="16">
      <c r="A16" s="7" t="inlineStr">
        <is>
          <t>Bessemer Venture Partners</t>
        </is>
      </c>
      <c r="B16" s="7" t="inlineStr">
        <is>
          <t>Multistage fund with health-tech practice</t>
        </is>
      </c>
      <c r="C16" s="7" t="inlineStr">
        <is>
          <t>San Francisco / Cambridge</t>
        </is>
      </c>
      <c r="D16" s="8" t="inlineStr">
        <is>
          <t>Active large flagship (size/vintage not re-verified)</t>
        </is>
      </c>
      <c r="E16" s="8" t="inlineStr">
        <is>
          <t>Seed to growth; growth-heavy, does seed selectively</t>
        </is>
      </c>
      <c r="F16" s="7" t="inlineStr">
        <is>
          <t>Unknown</t>
        </is>
      </c>
      <c r="G16" s="7" t="inlineStr">
        <is>
          <t>Selective</t>
        </is>
      </c>
      <c r="H16" s="7" t="inlineStr">
        <is>
          <t>No</t>
        </is>
      </c>
      <c r="I16" s="8" t="inlineStr">
        <is>
          <t>Deep health-tech / vertical-SaaS practice; publishes a Healthcare AI Roadmap. Kraus authored the '10 Laws of Healthcare'.</t>
        </is>
      </c>
      <c r="J16" s="8" t="inlineStr">
        <is>
          <t>Applied-AI roadmap and AI-native investments; strong PLG expertise fits iViz self-serve.</t>
        </is>
      </c>
      <c r="K16" s="8" t="inlineStr">
        <is>
          <t>None competing directly with Foresight/iViz identified.</t>
        </is>
      </c>
      <c r="L16" s="9" t="n">
        <v>0</v>
      </c>
      <c r="M16" s="8" t="inlineStr">
        <is>
          <t>Unknown</t>
        </is>
      </c>
      <c r="N16" s="7" t="inlineStr">
        <is>
          <t>Steve Kraus</t>
        </is>
      </c>
      <c r="O16" s="7" t="inlineStr">
        <is>
          <t>Partner (healthcare)</t>
        </is>
      </c>
      <c r="P16" s="8" t="inlineStr">
        <is>
          <t>PLAUSIBLE via DLA Piper: Bessemer is a named DLA VC investor-client (repeat deal counsel). Ask which DLA partner currently covers the BVP relationship.</t>
        </is>
      </c>
      <c r="Q16" s="9" t="n">
        <v>4</v>
      </c>
      <c r="R16" s="9" t="n">
        <v>4</v>
      </c>
      <c r="S16" s="9" t="n">
        <v>3</v>
      </c>
      <c r="T16" s="9" t="n">
        <v>0</v>
      </c>
      <c r="U16" s="9" t="n">
        <v>3</v>
      </c>
      <c r="V16" s="9" t="n">
        <v>4</v>
      </c>
      <c r="W16" s="10">
        <f>MAX(0,ROUND(Q16/5*Weights!$B$3+R16/5*Weights!$B$4+S16/5*Weights!$B$5+T16/5*Weights!$B$6+U16/5*Weights!$B$7+V16/5*Weights!$B$8-L16*Weights!$B$9,0))</f>
        <v>66</v>
      </c>
      <c r="X16" s="10" t="str">
        <f>IF(W16&gt;=Weights!$B$12,"A",IF(W16&gt;=Weights!$B$13,"B","C"))</f>
        <v>B</v>
      </c>
      <c r="Y16" s="11" t="inlineStr">
        <is>
          <t>Not contacted</t>
        </is>
      </c>
      <c r="Z16" s="7" t="inlineStr">
        <is>
          <t>Nate</t>
        </is>
      </c>
      <c r="AA16" s="8" t="inlineStr">
        <is>
          <t>Ask DLA which partner covers Bessemer; confirm seed appetite (BVP leans later).</t>
        </is>
      </c>
      <c r="AB16" s="7" t="inlineStr">
        <is>
          <t>2026-09-30</t>
        </is>
      </c>
      <c r="AC16" s="8" t="inlineStr">
        <is>
          <t>https://www.bvp.com/atlas/roadmap-healthcare-ai; https://www.bvp.com/</t>
        </is>
      </c>
      <c r="AD16" s="8" t="inlineStr">
        <is>
          <t>Infra fit strengthens under the new positioning: system-of-record / vertical-SaaS is core BVP thesis. Morgan Cheatham left BVP for Breyer. Email inferred/unverified: steve@bvp.com (pattern first@bvp.com).</t>
        </is>
      </c>
    </row>
    <row r="17">
      <c r="A17" s="7" t="inlineStr">
        <is>
          <t>Amplify Partners</t>
        </is>
      </c>
      <c r="B17" s="7" t="inlineStr">
        <is>
          <t>Technical/AI-native seed fund</t>
        </is>
      </c>
      <c r="C17" s="7" t="inlineStr">
        <is>
          <t>Menlo Park, CA</t>
        </is>
      </c>
      <c r="D17" s="8" t="inlineStr">
        <is>
          <t>Active seed fund (size/vintage not re-verified)</t>
        </is>
      </c>
      <c r="E17" s="8" t="inlineStr">
        <is>
          <t>Seed, leads; data/ML infrastructure and applied AI</t>
        </is>
      </c>
      <c r="F17" s="7" t="inlineStr">
        <is>
          <t>Unknown</t>
        </is>
      </c>
      <c r="G17" s="7" t="inlineStr">
        <is>
          <t>Yes</t>
        </is>
      </c>
      <c r="H17" s="7" t="inlineStr">
        <is>
          <t>No</t>
        </is>
      </c>
      <c r="I17" s="8" t="inlineStr">
        <is>
          <t>Minimal life-science exposure; ML-infrastructure focus.</t>
        </is>
      </c>
      <c r="J17" s="8" t="inlineStr">
        <is>
          <t>AI-native seed investor; portfolio includes Modal, LangChain, Hex, direct analogs to iViz's data-tooling angle.</t>
        </is>
      </c>
      <c r="K17" s="8" t="inlineStr">
        <is>
          <t>Hex (analytics workbench) is an adjacent data-tooling holding, not a clinical competitor; note as thesis fit.</t>
        </is>
      </c>
      <c r="L17" s="9" t="n">
        <v>0</v>
      </c>
      <c r="M17" s="8" t="inlineStr">
        <is>
          <t>Unknown</t>
        </is>
      </c>
      <c r="N17" s="7" t="inlineStr">
        <is>
          <t>Sarah Catanzaro</t>
        </is>
      </c>
      <c r="O17" s="7" t="inlineStr">
        <is>
          <t>General Partner (ML/AI/data)</t>
        </is>
      </c>
      <c r="P17" s="8" t="inlineStr">
        <is>
          <t>LinkedIn; no named node confirmed.</t>
        </is>
      </c>
      <c r="Q17" s="9" t="n">
        <v>1</v>
      </c>
      <c r="R17" s="9" t="n">
        <v>5</v>
      </c>
      <c r="S17" s="9" t="n">
        <v>5</v>
      </c>
      <c r="T17" s="9" t="n">
        <v>0</v>
      </c>
      <c r="U17" s="9" t="n">
        <v>2</v>
      </c>
      <c r="V17" s="9" t="n">
        <v>4</v>
      </c>
      <c r="W17" s="10">
        <f>MAX(0,ROUND(Q17/5*Weights!$B$3+R17/5*Weights!$B$4+S17/5*Weights!$B$5+T17/5*Weights!$B$6+U17/5*Weights!$B$7+V17/5*Weights!$B$8-L17*Weights!$B$9,0))</f>
        <v>58</v>
      </c>
      <c r="X17" s="10" t="str">
        <f>IF(W17&gt;=Weights!$B$12,"A",IF(W17&gt;=Weights!$B$13,"B","C"))</f>
        <v>B</v>
      </c>
      <c r="Y17" s="11" t="inlineStr">
        <is>
          <t>Not contacted</t>
        </is>
      </c>
      <c r="Z17" s="7" t="inlineStr">
        <is>
          <t>Nate</t>
        </is>
      </c>
      <c r="AA17" s="8" t="inlineStr">
        <is>
          <t>Frame Coharts as an ML/data product (iViz); verify email.</t>
        </is>
      </c>
      <c r="AB17" s="7" t="inlineStr">
        <is>
          <t>2026-09-30</t>
        </is>
      </c>
      <c r="AC17" s="8" t="inlineStr">
        <is>
          <t>https://www.amplifypartners.com/team/sarah-catanzaro</t>
        </is>
      </c>
      <c r="AD17" s="8" t="inlineStr">
        <is>
          <t>Best fit is the iViz data-tooling angle, not the clinical vertical. Email inferred/unverified: sarah@amplifypartners.com.</t>
        </is>
      </c>
    </row>
    <row r="18">
      <c r="A18" s="7" t="inlineStr">
        <is>
          <t>Conviction</t>
        </is>
      </c>
      <c r="B18" s="7" t="inlineStr">
        <is>
          <t>Applied-AI seed/early fund</t>
        </is>
      </c>
      <c r="C18" s="7" t="inlineStr">
        <is>
          <t>San Francisco, CA</t>
        </is>
      </c>
      <c r="D18" s="8" t="inlineStr">
        <is>
          <t>Fund II, ~$230M, closed Jan 2025 (~$1B AUM reported 2026)</t>
        </is>
      </c>
      <c r="E18" s="8" t="inlineStr">
        <is>
          <t>Seed/first-round leads; applied and vertical AI</t>
        </is>
      </c>
      <c r="F18" s="7" t="inlineStr">
        <is>
          <t>$1M to $25M, often first investor</t>
        </is>
      </c>
      <c r="G18" s="7" t="inlineStr">
        <is>
          <t>Yes</t>
        </is>
      </c>
      <c r="H18" s="7" t="inlineStr">
        <is>
          <t>No</t>
        </is>
      </c>
      <c r="I18" s="8" t="inlineStr">
        <is>
          <t>Health is a named sector: OpenEvidence (clinical decision support, reported ~$12B valuation Jan 2026). Thesis explicitly names biology as a domain needing specialized data.</t>
        </is>
      </c>
      <c r="J18" s="8" t="inlineStr">
        <is>
          <t>Pure applied/vertical-AI thesis (names biology, materials, physical simulation). AI-native portfolio: Harvey, Sierra, Cognition, Mistral, Baseten. iViz workbench plus Mona/Merlin agents map to the thesis.</t>
        </is>
      </c>
      <c r="K18" s="8" t="inlineStr">
        <is>
          <t>OpenEvidence (clinical Q&amp;A/decision support, not a Foresight or iViz competitor).</t>
        </is>
      </c>
      <c r="L18" s="9" t="n">
        <v>0</v>
      </c>
      <c r="M18" s="8" t="inlineStr">
        <is>
          <t>Unknown</t>
        </is>
      </c>
      <c r="N18" s="7" t="inlineStr">
        <is>
          <t>Sarah Guo</t>
        </is>
      </c>
      <c r="O18" s="7" t="inlineStr">
        <is>
          <t>Founder and General Partner (alt: Mike Vernal, GP, infra/PLG for iViz)</t>
        </is>
      </c>
      <c r="P18" s="8" t="inlineStr">
        <is>
          <t>Cold with an open inbound process; no named node.</t>
        </is>
      </c>
      <c r="Q18" s="9" t="n">
        <v>3</v>
      </c>
      <c r="R18" s="9" t="n">
        <v>5</v>
      </c>
      <c r="S18" s="9" t="n">
        <v>5</v>
      </c>
      <c r="T18" s="9" t="n">
        <v>5</v>
      </c>
      <c r="U18" s="9" t="n">
        <v>1</v>
      </c>
      <c r="V18" s="9" t="n">
        <v>5</v>
      </c>
      <c r="W18" s="10">
        <f>MAX(0,ROUND(Q18/5*Weights!$B$3+R18/5*Weights!$B$4+S18/5*Weights!$B$5+T18/5*Weights!$B$6+U18/5*Weights!$B$7+V18/5*Weights!$B$8-L18*Weights!$B$9,0))</f>
        <v>80</v>
      </c>
      <c r="X18" s="10" t="str">
        <f>IF(W18&gt;=Weights!$B$12,"A",IF(W18&gt;=Weights!$B$13,"B","C"))</f>
        <v>A</v>
      </c>
      <c r="Y18" s="11" t="inlineStr">
        <is>
          <t>Not contacted</t>
        </is>
      </c>
      <c r="Z18" s="7" t="inlineStr">
        <is>
          <t>Nate</t>
        </is>
      </c>
      <c r="AA18" s="8" t="inlineStr">
        <is>
          <t>Lead with the Applied-AI + AI-for-science story; confirm personal email.</t>
        </is>
      </c>
      <c r="AB18" s="7" t="inlineStr">
        <is>
          <t>2026-09-30</t>
        </is>
      </c>
      <c r="AC18" s="8" t="inlineStr">
        <is>
          <t>https://www.forbes.com/sites/alexkonrad/2025/01/31/inside-venture-capital-great-reshuffling/; https://saranormous.substack.com/p/launching-with-conviction</t>
        </is>
      </c>
      <c r="AD18" s="8" t="inlineStr">
        <is>
          <t>Verified. Check 5: $1M-$25M range comfortably leads a $6M seed. Infra angle fits (Vernal = PLG/infra). Only functional inbox embed@conviction.com is confirmed; sarah@conviction.com / mike@conviction.com inferred, LOW confidence.</t>
        </is>
      </c>
    </row>
    <row r="19">
      <c r="A19" s="7" t="inlineStr">
        <is>
          <t>Radical Ventures</t>
        </is>
      </c>
      <c r="B19" s="7" t="inlineStr">
        <is>
          <t>AI-first fund (AI in Sciences thesis)</t>
        </is>
      </c>
      <c r="C19" s="7" t="inlineStr">
        <is>
          <t>Toronto / San Francisco</t>
        </is>
      </c>
      <c r="D19" s="8" t="inlineStr">
        <is>
          <t>$650M early-stage AI fund (final close ~2024); $800M growth (Aug 2024); &gt;$1B first close Breakouts fund (2025); ~$1.8B AUM</t>
        </is>
      </c>
      <c r="E19" s="8" t="inlineStr">
        <is>
          <t>Leads early-stage AI (seed to Series A)</t>
        </is>
      </c>
      <c r="F19" s="7" t="inlineStr">
        <is>
          <t>Unknown</t>
        </is>
      </c>
      <c r="G19" s="7" t="inlineStr">
        <is>
          <t>Yes</t>
        </is>
      </c>
      <c r="H19" s="7" t="inlineStr">
        <is>
          <t>No</t>
        </is>
      </c>
      <c r="I19" s="8" t="inlineStr">
        <is>
          <t>Formal 'AI in Sciences' thesis (generative AI for biology/chemistry/physics). Holdings: Genesis Therapeutics, Nabla Bio, Aspect Biosystems, Attuned Intelligence (healthcare AI). Led Attuned $13M seed (2025).</t>
        </is>
      </c>
      <c r="J19" s="8" t="inlineStr">
        <is>
          <t>AI-first fund with a published AI-in-sciences thesis and an AI-native portfolio that follows it. Strong fit for the Applied AI company narrative.</t>
        </is>
      </c>
      <c r="K19" s="8" t="inlineStr">
        <is>
          <t>Unlearn.AI: AI digital-twin control arms for clinical trials, a DIRECT Foresight competitor.</t>
        </is>
      </c>
      <c r="L19" s="9" t="n">
        <v>1</v>
      </c>
      <c r="M19" s="8" t="inlineStr">
        <is>
          <t>Unlearn.AI (digital-twin / in-silico clinical trials) competes head-on with Foresight.</t>
        </is>
      </c>
      <c r="N19" s="7" t="inlineStr">
        <is>
          <t>Sanjana Basu</t>
        </is>
      </c>
      <c r="O19" s="7" t="inlineStr">
        <is>
          <t>Partner (leads AI in Sciences; alt: Jordan Jacobs, Co-Founder/MP)</t>
        </is>
      </c>
      <c r="P19" s="8" t="inlineStr">
        <is>
          <t>Cold with an open inbound process; no named node.</t>
        </is>
      </c>
      <c r="Q19" s="9" t="n">
        <v>5</v>
      </c>
      <c r="R19" s="9" t="n">
        <v>5</v>
      </c>
      <c r="S19" s="9" t="n">
        <v>4</v>
      </c>
      <c r="T19" s="9" t="n">
        <v>0</v>
      </c>
      <c r="U19" s="9" t="n">
        <v>1</v>
      </c>
      <c r="V19" s="9" t="n">
        <v>5</v>
      </c>
      <c r="W19" s="10">
        <f>MAX(0,ROUND(Q19/5*Weights!$B$3+R19/5*Weights!$B$4+S19/5*Weights!$B$5+T19/5*Weights!$B$6+U19/5*Weights!$B$7+V19/5*Weights!$B$8-L19*Weights!$B$9,0))</f>
        <v>53</v>
      </c>
      <c r="X19" s="10" t="str">
        <f>IF(W19&gt;=Weights!$B$12,"A",IF(W19&gt;=Weights!$B$13,"B","C"))</f>
        <v>B</v>
      </c>
      <c r="Y19" s="11" t="inlineStr">
        <is>
          <t>Not contacted</t>
        </is>
      </c>
      <c r="Z19" s="7" t="inlineStr">
        <is>
          <t>Nate</t>
        </is>
      </c>
      <c r="AA19" s="8" t="inlineStr">
        <is>
          <t>CONFLICT (Unlearn.AI): angle on iViz / applied-AI only, or deprioritize for Foresight.</t>
        </is>
      </c>
      <c r="AB19" s="7" t="inlineStr">
        <is>
          <t>2026-09-30</t>
        </is>
      </c>
      <c r="AC19" s="8" t="inlineStr">
        <is>
          <t>https://radical.vc/investing-in-the-exponential-ai-in-sciences/; https://radical.vc/team/sanjana-basu/</t>
        </is>
      </c>
      <c r="AD19" s="8" t="inlineStr">
        <is>
          <t>Verified. Conflict penalty applied for Unlearn.AI. Absent the conflict this scores ~78 (Tier A); with it, ~53. Email inferred: sanjana@radical.vc (domain @radical.vc confirmed; convention assumed).</t>
        </is>
      </c>
    </row>
    <row r="20">
      <c r="A20" s="7" t="inlineStr">
        <is>
          <t>Basis Set Ventures</t>
        </is>
      </c>
      <c r="B20" s="7" t="inlineStr">
        <is>
          <t>AI/data-tooling seed fund</t>
        </is>
      </c>
      <c r="C20" s="7" t="inlineStr">
        <is>
          <t>San Francisco, CA</t>
        </is>
      </c>
      <c r="D20" s="8" t="inlineStr">
        <is>
          <t>Fund IV, $250M, closed Jan 2026 (Fund III $185M 2024)</t>
        </is>
      </c>
      <c r="E20" s="8" t="inlineStr">
        <is>
          <t>Seed, leads; vertical AI, infrastructure, automated workflows</t>
        </is>
      </c>
      <c r="F20" s="7" t="inlineStr">
        <is>
          <t>$2M to $3M seed (pre-seed ~$250K to $500K)</t>
        </is>
      </c>
      <c r="G20" s="7" t="inlineStr">
        <is>
          <t>Yes</t>
        </is>
      </c>
      <c r="H20" s="7" t="inlineStr">
        <is>
          <t>No</t>
        </is>
      </c>
      <c r="I20" s="8" t="inlineStr">
        <is>
          <t>Sectors explicitly include Biotech &amp; Life Sciences and Healthcare. Holdings: Cusp (CuspAI, molecular/materials foundation models), Neion (medicine), Basata (healthcare admin AI), Seen Health.</t>
        </is>
      </c>
      <c r="J20" s="8" t="inlineStr">
        <is>
          <t>AI-native since 2017; vertical-AI, infrastructure, and automated-workflow thesis. Strong fit for iViz's data-analysis/workflow-automation angle.</t>
        </is>
      </c>
      <c r="K20" s="8" t="inlineStr">
        <is>
          <t>Cusp (molecular/materials discovery, adjacent not competing); no clinical-trial-simulation or notebook/BI holding found.</t>
        </is>
      </c>
      <c r="L20" s="9" t="n">
        <v>0</v>
      </c>
      <c r="M20" s="8" t="inlineStr">
        <is>
          <t>Unknown</t>
        </is>
      </c>
      <c r="N20" s="7" t="inlineStr">
        <is>
          <t>Lan Xuezhao</t>
        </is>
      </c>
      <c r="O20" s="7" t="inlineStr">
        <is>
          <t>Founder and Managing Partner (alt: Chang Xu, Partner)</t>
        </is>
      </c>
      <c r="P20" s="8" t="inlineStr">
        <is>
          <t>PLAUSIBLE via DLA Piper: Basis Set GC Jennifer Lee is a DLA alum (ex-CVC co-chair); a DLA partner who overlapped with her can make a peer intro. Confirm with DLA.</t>
        </is>
      </c>
      <c r="Q20" s="9" t="n">
        <v>3</v>
      </c>
      <c r="R20" s="9" t="n">
        <v>5</v>
      </c>
      <c r="S20" s="9" t="n">
        <v>5</v>
      </c>
      <c r="T20" s="9" t="n">
        <v>3</v>
      </c>
      <c r="U20" s="9" t="n">
        <v>3</v>
      </c>
      <c r="V20" s="9" t="n">
        <v>5</v>
      </c>
      <c r="W20" s="10">
        <f>MAX(0,ROUND(Q20/5*Weights!$B$3+R20/5*Weights!$B$4+S20/5*Weights!$B$5+T20/5*Weights!$B$6+U20/5*Weights!$B$7+V20/5*Weights!$B$8-L20*Weights!$B$9,0))</f>
        <v>80</v>
      </c>
      <c r="X20" s="10" t="str">
        <f>IF(W20&gt;=Weights!$B$12,"A",IF(W20&gt;=Weights!$B$13,"B","C"))</f>
        <v>A</v>
      </c>
      <c r="Y20" s="11" t="inlineStr">
        <is>
          <t>Not contacted</t>
        </is>
      </c>
      <c r="Z20" s="7" t="inlineStr">
        <is>
          <t>Nate</t>
        </is>
      </c>
      <c r="AA20" s="8" t="inlineStr">
        <is>
          <t>Ask DLA about an alumni intro to GC Jennifer Lee / partner Lan Xuezhao; lead with iViz.</t>
        </is>
      </c>
      <c r="AB20" s="7" t="inlineStr">
        <is>
          <t>2026-09-30</t>
        </is>
      </c>
      <c r="AC20" s="8" t="inlineStr">
        <is>
          <t>https://en.wikipedia.org/wiki/Basis_Set_Ventures; https://www.basisset.com/basis-set-faq</t>
        </is>
      </c>
      <c r="AD20" s="8" t="inlineStr">
        <is>
          <t>Verified. Warm path via DLA alumni tie to GC Jennifer Lee; contingent on DLA making it. Email lan@basisset.com is Verified (pattern firstname@basisset.com); some databases list basisset.ventures, confirm first. $2-3M seed check fits as co-lead/participant more than a full seed lead.</t>
        </is>
      </c>
    </row>
    <row r="21">
      <c r="A21" s="7" t="inlineStr">
        <is>
          <t>Catalio Capital</t>
        </is>
      </c>
      <c r="B21" s="7" t="inlineStr">
        <is>
          <t>Biomedical therapeutics/devices fund</t>
        </is>
      </c>
      <c r="C21" s="7" t="inlineStr">
        <is>
          <t>New York / Baltimore</t>
        </is>
      </c>
      <c r="D21" s="8" t="inlineStr">
        <is>
          <t>Nexus Fund IV, &gt;$400M, Jul 2025</t>
        </is>
      </c>
      <c r="E21" s="8" t="inlineStr">
        <is>
          <t>Multistage biomedical; therapeutics and devices</t>
        </is>
      </c>
      <c r="F21" s="7" t="inlineStr">
        <is>
          <t>Unknown</t>
        </is>
      </c>
      <c r="G21" s="7" t="inlineStr">
        <is>
          <t>Rarely for software</t>
        </is>
      </c>
      <c r="H21" s="7" t="inlineStr">
        <is>
          <t>No</t>
        </is>
      </c>
      <c r="I21" s="8" t="inlineStr">
        <is>
          <t>Biomedical crossover but therapeutics/devices-weighted; software is rare. Better as a strategic angel than a lead.</t>
        </is>
      </c>
      <c r="J21" s="8" t="inlineStr">
        <is>
          <t>Limited applied-AI-software evidence.</t>
        </is>
      </c>
      <c r="K21" s="8" t="inlineStr">
        <is>
          <t>None competing directly with Foresight/iViz identified.</t>
        </is>
      </c>
      <c r="L21" s="9" t="n">
        <v>0</v>
      </c>
      <c r="M21" s="8" t="inlineStr">
        <is>
          <t>Unknown</t>
        </is>
      </c>
      <c r="N21" s="7" t="inlineStr">
        <is>
          <t>R. Jacob Vogelstein, PhD</t>
        </is>
      </c>
      <c r="O21" s="7" t="inlineStr">
        <is>
          <t>Co-Founder and Managing Partner</t>
        </is>
      </c>
      <c r="P21" s="8" t="inlineStr">
        <is>
          <t>Cold; no named node.</t>
        </is>
      </c>
      <c r="Q21" s="9" t="n">
        <v>3</v>
      </c>
      <c r="R21" s="9" t="n">
        <v>2</v>
      </c>
      <c r="S21" s="9" t="n">
        <v>2</v>
      </c>
      <c r="T21" s="9" t="n">
        <v>0</v>
      </c>
      <c r="U21" s="9" t="n">
        <v>1</v>
      </c>
      <c r="V21" s="9" t="n">
        <v>4</v>
      </c>
      <c r="W21" s="10">
        <f>MAX(0,ROUND(Q21/5*Weights!$B$3+R21/5*Weights!$B$4+S21/5*Weights!$B$5+T21/5*Weights!$B$6+U21/5*Weights!$B$7+V21/5*Weights!$B$8-L21*Weights!$B$9,0))</f>
        <v>44</v>
      </c>
      <c r="X21" s="10" t="str">
        <f>IF(W21&gt;=Weights!$B$12,"A",IF(W21&gt;=Weights!$B$13,"B","C"))</f>
        <v>C</v>
      </c>
      <c r="Y21" s="11" t="inlineStr">
        <is>
          <t>Not contacted</t>
        </is>
      </c>
      <c r="Z21" s="7" t="inlineStr">
        <is>
          <t>Nate</t>
        </is>
      </c>
      <c r="AA21" s="8" t="inlineStr">
        <is>
          <t>Approach as strategic/customer, not lead.</t>
        </is>
      </c>
      <c r="AB21" s="7" t="inlineStr">
        <is>
          <t>2026-09-30</t>
        </is>
      </c>
      <c r="AC21" s="8" t="inlineStr">
        <is>
          <t>https://www.cataliocapital.com/team/r-jacob-vogelstein; https://www.businesswire.com/news/home/20250701360026/en/</t>
        </is>
      </c>
      <c r="AD21" s="8" t="inlineStr">
        <is>
          <t>Screened but low fit for a software seed (therapeutics/devices focus). Email inferred: jacob@cataliocapital.com.</t>
        </is>
      </c>
    </row>
    <row r="22">
      <c r="A22" s="7" t="inlineStr">
        <is>
          <t>5AM Ventures</t>
        </is>
      </c>
      <c r="B22" s="7" t="inlineStr">
        <is>
          <t>Therapeutics biotech fund</t>
        </is>
      </c>
      <c r="C22" s="7" t="inlineStr">
        <is>
          <t>San Francisco / Boston</t>
        </is>
      </c>
      <c r="D22" s="8" t="inlineStr">
        <is>
          <t>Active biotech funds (recent close; date not re-verified)</t>
        </is>
      </c>
      <c r="E22" s="8" t="inlineStr">
        <is>
          <t>Biotech therapeutics company creation</t>
        </is>
      </c>
      <c r="F22" s="7" t="inlineStr">
        <is>
          <t>Unknown</t>
        </is>
      </c>
      <c r="G22" s="7" t="inlineStr">
        <is>
          <t>No (for software)</t>
        </is>
      </c>
      <c r="H22" s="7" t="inlineStr">
        <is>
          <t>No</t>
        </is>
      </c>
      <c r="I22" s="8" t="inlineStr">
        <is>
          <t>Pure therapeutics VC; builds and backs drug companies, not software vendors. Off-thesis for Coharts as a tool provider.</t>
        </is>
      </c>
      <c r="J22" s="8" t="inlineStr">
        <is>
          <t>Not an applied-AI-software investor.</t>
        </is>
      </c>
      <c r="K22" s="8" t="inlineStr">
        <is>
          <t>None; different category.</t>
        </is>
      </c>
      <c r="L22" s="9" t="n">
        <v>0</v>
      </c>
      <c r="M22" s="8" t="inlineStr">
        <is>
          <t>Unknown</t>
        </is>
      </c>
      <c r="N22" s="7" t="inlineStr">
        <is>
          <t>Andrew (Andy) Schwab</t>
        </is>
      </c>
      <c r="O22" s="7" t="inlineStr">
        <is>
          <t>Founder and Managing Partner</t>
        </is>
      </c>
      <c r="P22" s="8" t="inlineStr">
        <is>
          <t>Cold; no named node.</t>
        </is>
      </c>
      <c r="Q22" s="9" t="n">
        <v>1</v>
      </c>
      <c r="R22" s="9" t="n">
        <v>1</v>
      </c>
      <c r="S22" s="9" t="n">
        <v>1</v>
      </c>
      <c r="T22" s="9" t="n">
        <v>0</v>
      </c>
      <c r="U22" s="9" t="n">
        <v>1</v>
      </c>
      <c r="V22" s="9" t="n">
        <v>4</v>
      </c>
      <c r="W22" s="10">
        <f>MAX(0,ROUND(Q22/5*Weights!$B$3+R22/5*Weights!$B$4+S22/5*Weights!$B$5+T22/5*Weights!$B$6+U22/5*Weights!$B$7+V22/5*Weights!$B$8-L22*Weights!$B$9,0))</f>
        <v>24</v>
      </c>
      <c r="X22" s="10" t="str">
        <f>IF(W22&gt;=Weights!$B$12,"A",IF(W22&gt;=Weights!$B$13,"B","C"))</f>
        <v>C</v>
      </c>
      <c r="Y22" s="11" t="inlineStr">
        <is>
          <t>Not contacted</t>
        </is>
      </c>
      <c r="Z22" s="7" t="inlineStr">
        <is>
          <t>Nate</t>
        </is>
      </c>
      <c r="AA22" s="8" t="inlineStr">
        <is>
          <t>Deprioritize as an investor; possible customer/strategic only.</t>
        </is>
      </c>
      <c r="AB22" s="7" t="inlineStr">
        <is>
          <t>2026-09-30</t>
        </is>
      </c>
      <c r="AC22" s="8" t="inlineStr">
        <is>
          <t>https://5amventures.com/team/</t>
        </is>
      </c>
      <c r="AD22" s="8" t="inlineStr">
        <is>
          <t>Included to document the screen. Off-thesis (asset-owning therapeutics). Email inferred: aschwab@5amventures.com.</t>
        </is>
      </c>
    </row>
    <row r="23">
      <c r="A23" s="7" t="inlineStr">
        <is>
          <t>Sanofi Ventures</t>
        </is>
      </c>
      <c r="B23" s="7" t="inlineStr">
        <is>
          <t>Pharma corporate venture arm</t>
        </is>
      </c>
      <c r="C23" s="7" t="inlineStr">
        <is>
          <t>Cambridge, MA</t>
        </is>
      </c>
      <c r="D23" s="8" t="inlineStr">
        <is>
          <t>Evergreen; +$625M committed Sep 2025 (~$1.4B AUM)</t>
        </is>
      </c>
      <c r="E23" s="8" t="inlineStr">
        <is>
          <t>Early-stage; leads/co-leads biotech and digital health</t>
        </is>
      </c>
      <c r="F23" s="7" t="inlineStr">
        <is>
          <t>Unknown</t>
        </is>
      </c>
      <c r="G23" s="7" t="inlineStr">
        <is>
          <t>Selective</t>
        </is>
      </c>
      <c r="H23" s="7" t="inlineStr">
        <is>
          <t>No</t>
        </is>
      </c>
      <c r="I23" s="8" t="inlineStr">
        <is>
          <t>Deep biotech book (Atalanta, Glycomine, Draig 2025; 3 exits 2024 ~$3.25B). Explicit digital-health and data-science vertical.</t>
        </is>
      </c>
      <c r="J23" s="8" t="inlineStr">
        <is>
          <t>The $625M top-up (Sep 2025) was framed around AI; digital-health/data-science is a named vertical.</t>
        </is>
      </c>
      <c r="K23" s="8" t="inlineStr">
        <is>
          <t>None competing directly with Foresight/iViz identified.</t>
        </is>
      </c>
      <c r="L23" s="9" t="n">
        <v>0</v>
      </c>
      <c r="M23" s="8" t="inlineStr">
        <is>
          <t>Unknown</t>
        </is>
      </c>
      <c r="N23" s="7" t="inlineStr">
        <is>
          <t>Jason P. Hafler</t>
        </is>
      </c>
      <c r="O23" s="7" t="inlineStr">
        <is>
          <t>Managing Director (early-stage biotech + AI/digital health)</t>
        </is>
      </c>
      <c r="P23" s="8" t="inlineStr">
        <is>
          <t>Cold; no named node. Strategic: also a pharma buyer/POC path.</t>
        </is>
      </c>
      <c r="Q23" s="9" t="n">
        <v>5</v>
      </c>
      <c r="R23" s="9" t="n">
        <v>3</v>
      </c>
      <c r="S23" s="9" t="n">
        <v>3</v>
      </c>
      <c r="T23" s="9" t="n">
        <v>0</v>
      </c>
      <c r="U23" s="9" t="n">
        <v>1</v>
      </c>
      <c r="V23" s="9" t="n">
        <v>5</v>
      </c>
      <c r="W23" s="10">
        <f>MAX(0,ROUND(Q23/5*Weights!$B$3+R23/5*Weights!$B$4+S23/5*Weights!$B$5+T23/5*Weights!$B$6+U23/5*Weights!$B$7+V23/5*Weights!$B$8-L23*Weights!$B$9,0))</f>
        <v>66</v>
      </c>
      <c r="X23" s="10" t="str">
        <f>IF(W23&gt;=Weights!$B$12,"A",IF(W23&gt;=Weights!$B$13,"B","C"))</f>
        <v>B</v>
      </c>
      <c r="Y23" s="11" t="inlineStr">
        <is>
          <t>Not contacted</t>
        </is>
      </c>
      <c r="Z23" s="7" t="inlineStr">
        <is>
          <t>Nate</t>
        </is>
      </c>
      <c r="AA23" s="8" t="inlineStr">
        <is>
          <t>Approach as strategic (financial + POC); verify email.</t>
        </is>
      </c>
      <c r="AB23" s="7" t="inlineStr">
        <is>
          <t>2026-09-30</t>
        </is>
      </c>
      <c r="AC23" s="8" t="inlineStr">
        <is>
          <t>https://www.biospace.com/press-releases/press-release-sanofi-commits-an-additional-625-million-to-sanofi-ventures-to-accelerate-investment-in-biotech-and-digital-health-innovation; https://www.zoominfo.com/p/Jason-Hafler</t>
        </is>
      </c>
      <c r="AD23" s="8" t="inlineStr">
        <is>
          <t>CVC. Email inferred: jason.hafler@sanofi.com (ZoomInfo confirms j***@sanofi.com; Sanofi standard first.last@sanofi.com).</t>
        </is>
      </c>
    </row>
    <row r="24">
      <c r="A24" s="7" t="inlineStr">
        <is>
          <t>MSD Global Health Innovation Fund (GHIF)</t>
        </is>
      </c>
      <c r="B24" s="7" t="inlineStr">
        <is>
          <t>Pharma corporate venture arm</t>
        </is>
      </c>
      <c r="C24" s="7" t="inlineStr">
        <is>
          <t>Boston / Kenilworth, NJ</t>
        </is>
      </c>
      <c r="D24" s="8" t="inlineStr">
        <is>
          <t>Evergreen, ~$500M AUM; IDEA Studios (2024, ~$38M early-stage)</t>
        </is>
      </c>
      <c r="E24" s="8" t="inlineStr">
        <is>
          <t>Primarily GROWTH; IDEA Studios adds early engagement</t>
        </is>
      </c>
      <c r="F24" s="7" t="inlineStr">
        <is>
          <t>Unknown</t>
        </is>
      </c>
      <c r="G24" s="7" t="inlineStr">
        <is>
          <t>No (growth-stage)</t>
        </is>
      </c>
      <c r="H24" s="7" t="inlineStr">
        <is>
          <t>No</t>
        </is>
      </c>
      <c r="I24" s="8" t="inlineStr">
        <is>
          <t>Invests in digital-health and data-science companies that optimize biopharma operations, directly Coharts-adjacent.</t>
        </is>
      </c>
      <c r="J24" s="8" t="inlineStr">
        <is>
          <t>AI + healthcare-data is an intensifying thesis; digital-health/data-science mandate.</t>
        </is>
      </c>
      <c r="K24" s="8" t="inlineStr">
        <is>
          <t>None competing directly with Foresight/iViz identified.</t>
        </is>
      </c>
      <c r="L24" s="9" t="n">
        <v>0</v>
      </c>
      <c r="M24" s="8" t="inlineStr">
        <is>
          <t>Unknown</t>
        </is>
      </c>
      <c r="N24" s="7" t="inlineStr">
        <is>
          <t>Joel Krikston</t>
        </is>
      </c>
      <c r="O24" s="7" t="inlineStr">
        <is>
          <t>Managing Director, Venture Investments</t>
        </is>
      </c>
      <c r="P24" s="8" t="inlineStr">
        <is>
          <t>Cold; no named node. Strategic: pharma buyer/POC path.</t>
        </is>
      </c>
      <c r="Q24" s="9" t="n">
        <v>5</v>
      </c>
      <c r="R24" s="9" t="n">
        <v>3</v>
      </c>
      <c r="S24" s="9" t="n">
        <v>2</v>
      </c>
      <c r="T24" s="9" t="n">
        <v>0</v>
      </c>
      <c r="U24" s="9" t="n">
        <v>1</v>
      </c>
      <c r="V24" s="9" t="n">
        <v>4</v>
      </c>
      <c r="W24" s="10">
        <f>MAX(0,ROUND(Q24/5*Weights!$B$3+R24/5*Weights!$B$4+S24/5*Weights!$B$5+T24/5*Weights!$B$6+U24/5*Weights!$B$7+V24/5*Weights!$B$8-L24*Weights!$B$9,0))</f>
        <v>60</v>
      </c>
      <c r="X24" s="10" t="str">
        <f>IF(W24&gt;=Weights!$B$12,"A",IF(W24&gt;=Weights!$B$13,"B","C"))</f>
        <v>B</v>
      </c>
      <c r="Y24" s="11" t="inlineStr">
        <is>
          <t>Not contacted</t>
        </is>
      </c>
      <c r="Z24" s="7" t="inlineStr">
        <is>
          <t>Nate</t>
        </is>
      </c>
      <c r="AA24" s="8" t="inlineStr">
        <is>
          <t>Treat as strategic/later-round + POC, not a seed lead; verify email domain.</t>
        </is>
      </c>
      <c r="AB24" s="7" t="inlineStr">
        <is>
          <t>2026-09-30</t>
        </is>
      </c>
      <c r="AC24" s="8" t="inlineStr">
        <is>
          <t>https://www.msd.com/news/msd-launches-idea-studios-to-fuel-health-care-innovation/; https://www.crunchbase.com/organization/merck-global-health-innovation-fund</t>
        </is>
      </c>
      <c r="AD24" s="8" t="inlineStr">
        <is>
          <t>Growth-stage CVC, unlikely to lead a seed. Email inferred: joel.krikston@merck.com (or @msdghifund.com, unresolved).</t>
        </is>
      </c>
    </row>
    <row r="25">
      <c r="A25" s="7" t="inlineStr">
        <is>
          <t>Danaher Ventures</t>
        </is>
      </c>
      <c r="B25" s="7" t="inlineStr">
        <is>
          <t>Life-science instruments corporate venture arm</t>
        </is>
      </c>
      <c r="C25" s="7" t="inlineStr">
        <is>
          <t>Washington, DC</t>
        </is>
      </c>
      <c r="D25" s="8" t="inlineStr">
        <is>
          <t>Corporate CVC (founded 2017)</t>
        </is>
      </c>
      <c r="E25" s="8" t="inlineStr">
        <is>
          <t>Strategic early-stage co-investor; rarely sole seed lead</t>
        </is>
      </c>
      <c r="F25" s="7" t="inlineStr">
        <is>
          <t>Unknown</t>
        </is>
      </c>
      <c r="G25" s="7" t="inlineStr">
        <is>
          <t>Rarely (co-invests)</t>
        </is>
      </c>
      <c r="H25" s="7" t="inlineStr">
        <is>
          <t>No</t>
        </is>
      </c>
      <c r="I25" s="8" t="inlineStr">
        <is>
          <t>Biotech, diagnostics, life sciences, and data sciences mandate. Innovaccer partnership (Jan 2025); Scopio Labs, AI diagnostics (Jul 2025).</t>
        </is>
      </c>
      <c r="J25" s="8" t="inlineStr">
        <is>
          <t>Healthcare-AI deals (Innovaccer, Scopio); data-sciences is a named focus.</t>
        </is>
      </c>
      <c r="K25" s="8" t="inlineStr">
        <is>
          <t>None competing directly with Foresight/iViz identified.</t>
        </is>
      </c>
      <c r="L25" s="9" t="n">
        <v>0</v>
      </c>
      <c r="M25" s="8" t="inlineStr">
        <is>
          <t>Unknown</t>
        </is>
      </c>
      <c r="N25" s="7" t="inlineStr">
        <is>
          <t>Murali Venkatesan</t>
        </is>
      </c>
      <c r="O25" s="7" t="inlineStr">
        <is>
          <t>VP and Head of Danaher Ventures (Americas &amp; Europe)</t>
        </is>
      </c>
      <c r="P25" s="8" t="inlineStr">
        <is>
          <t>Cold; no named node. Strategic: instruments/data ecosystem.</t>
        </is>
      </c>
      <c r="Q25" s="9" t="n">
        <v>5</v>
      </c>
      <c r="R25" s="9" t="n">
        <v>3</v>
      </c>
      <c r="S25" s="9" t="n">
        <v>2</v>
      </c>
      <c r="T25" s="9" t="n">
        <v>0</v>
      </c>
      <c r="U25" s="9" t="n">
        <v>1</v>
      </c>
      <c r="V25" s="9" t="n">
        <v>4</v>
      </c>
      <c r="W25" s="10">
        <f>MAX(0,ROUND(Q25/5*Weights!$B$3+R25/5*Weights!$B$4+S25/5*Weights!$B$5+T25/5*Weights!$B$6+U25/5*Weights!$B$7+V25/5*Weights!$B$8-L25*Weights!$B$9,0))</f>
        <v>60</v>
      </c>
      <c r="X25" s="10" t="str">
        <f>IF(W25&gt;=Weights!$B$12,"A",IF(W25&gt;=Weights!$B$13,"B","C"))</f>
        <v>B</v>
      </c>
      <c r="Y25" s="11" t="inlineStr">
        <is>
          <t>Not contacted</t>
        </is>
      </c>
      <c r="Z25" s="7" t="inlineStr">
        <is>
          <t>Nate</t>
        </is>
      </c>
      <c r="AA25" s="8" t="inlineStr">
        <is>
          <t>Approach as strategic co-investor; verify email.</t>
        </is>
      </c>
      <c r="AB25" s="7" t="inlineStr">
        <is>
          <t>2026-09-30</t>
        </is>
      </c>
      <c r="AC25" s="8" t="inlineStr">
        <is>
          <t>https://www.danaher.com/danaher-ventures; https://www.prnewswire.com/news-releases/danaher-announces-investment-partnership-in-innovaccer-inc-302347452.html</t>
        </is>
      </c>
      <c r="AD25" s="8" t="inlineStr">
        <is>
          <t>CVC, strategic co-investor. Email inferred: murali.venkatesan@danaher.com (first.last@danaher.com).</t>
        </is>
      </c>
    </row>
    <row r="26">
      <c r="A26" s="7" t="inlineStr">
        <is>
          <t>Thermo Fisher Strategic Capital</t>
        </is>
      </c>
      <c r="B26" s="7" t="inlineStr">
        <is>
          <t>Life-science instruments corporate venture arm</t>
        </is>
      </c>
      <c r="C26" s="7" t="inlineStr">
        <is>
          <t>Waltham, MA</t>
        </is>
      </c>
      <c r="D26" s="8" t="inlineStr">
        <is>
          <t>Corporate strategic-capital team</t>
        </is>
      </c>
      <c r="E26" s="8" t="inlineStr">
        <is>
          <t>Strategic co-investor; not a lead</t>
        </is>
      </c>
      <c r="F26" s="7" t="inlineStr">
        <is>
          <t>Unknown</t>
        </is>
      </c>
      <c r="G26" s="7" t="inlineStr">
        <is>
          <t>No (co-invests)</t>
        </is>
      </c>
      <c r="H26" s="7" t="inlineStr">
        <is>
          <t>No</t>
        </is>
      </c>
      <c r="I26" s="8" t="inlineStr">
        <is>
          <t>Life sciences, diagnostics, devices, disease modeling. Backed CytoReason (computational biology, $80M Series B) and miDiagnostics.</t>
        </is>
      </c>
      <c r="J26" s="8" t="inlineStr">
        <is>
          <t>Disease-modeling / computational-biology exposure (CytoReason) adjacent to Coharts' simulation story.</t>
        </is>
      </c>
      <c r="K26" s="8" t="inlineStr">
        <is>
          <t>CytoReason (disease modeling for targets/biomarkers, adjacent not competing).</t>
        </is>
      </c>
      <c r="L26" s="9" t="n">
        <v>0</v>
      </c>
      <c r="M26" s="8" t="inlineStr">
        <is>
          <t>Unknown</t>
        </is>
      </c>
      <c r="N26" s="7" t="inlineStr">
        <is>
          <t>Bhooshi De Silva</t>
        </is>
      </c>
      <c r="O26" s="7" t="inlineStr">
        <is>
          <t>Head of Strategic Capital (alt: Carson Massey, Associate Director)</t>
        </is>
      </c>
      <c r="P26" s="8" t="inlineStr">
        <is>
          <t>Cold; no named node. Strategic: instruments ecosystem.</t>
        </is>
      </c>
      <c r="Q26" s="9" t="n">
        <v>5</v>
      </c>
      <c r="R26" s="9" t="n">
        <v>3</v>
      </c>
      <c r="S26" s="9" t="n">
        <v>2</v>
      </c>
      <c r="T26" s="9" t="n">
        <v>0</v>
      </c>
      <c r="U26" s="9" t="n">
        <v>1</v>
      </c>
      <c r="V26" s="9" t="n">
        <v>3</v>
      </c>
      <c r="W26" s="10">
        <f>MAX(0,ROUND(Q26/5*Weights!$B$3+R26/5*Weights!$B$4+S26/5*Weights!$B$5+T26/5*Weights!$B$6+U26/5*Weights!$B$7+V26/5*Weights!$B$8-L26*Weights!$B$9,0))</f>
        <v>58</v>
      </c>
      <c r="X26" s="10" t="str">
        <f>IF(W26&gt;=Weights!$B$12,"A",IF(W26&gt;=Weights!$B$13,"B","C"))</f>
        <v>B</v>
      </c>
      <c r="Y26" s="11" t="inlineStr">
        <is>
          <t>Not contacted</t>
        </is>
      </c>
      <c r="Z26" s="7" t="inlineStr">
        <is>
          <t>Nate</t>
        </is>
      </c>
      <c r="AA26" s="8" t="inlineStr">
        <is>
          <t>Approach as strategic co-investor; verify email.</t>
        </is>
      </c>
      <c r="AB26" s="7" t="inlineStr">
        <is>
          <t>2026-09-30</t>
        </is>
      </c>
      <c r="AC26" s="8" t="inlineStr">
        <is>
          <t>https://globalventuring.com/corporate/people/thermo-fisher-scientific-brings-massey-onboard/; https://www.cbinsights.com/investor/thermo-fisher-scientific</t>
        </is>
      </c>
      <c r="AD26" s="8" t="inlineStr">
        <is>
          <t>CVC, strategic co-investor, not a lead. Email inferred: bhooshi.desilva@thermofisher.com (first.last@thermofisher.com).</t>
        </is>
      </c>
    </row>
    <row r="27">
      <c r="A27" s="7" t="inlineStr">
        <is>
          <t>UPMC Enterprises</t>
        </is>
      </c>
      <c r="B27" s="7" t="inlineStr">
        <is>
          <t>Health-system venture/commercialization arm</t>
        </is>
      </c>
      <c r="C27" s="7" t="inlineStr">
        <is>
          <t>Pittsburgh, PA</t>
        </is>
      </c>
      <c r="D27" s="8" t="inlineStr">
        <is>
          <t>$1B committed to life-sciences investing</t>
        </is>
      </c>
      <c r="E27" s="8" t="inlineStr">
        <is>
          <t>Leads rounds; digital health + translational science</t>
        </is>
      </c>
      <c r="F27" s="7" t="inlineStr">
        <is>
          <t>Unknown</t>
        </is>
      </c>
      <c r="G27" s="7" t="inlineStr">
        <is>
          <t>Yes</t>
        </is>
      </c>
      <c r="H27" s="7" t="inlineStr">
        <is>
          <t>No</t>
        </is>
      </c>
      <c r="I27" s="8" t="inlineStr">
        <is>
          <t>Led Carta Healthcare ~$18.25M Series B1 (AI clinical-data management, expanding into life sciences). Also Abridge, Astrata, Medicom.</t>
        </is>
      </c>
      <c r="J27" s="8" t="inlineStr">
        <is>
          <t>Explicit AI-powered clinical-data thesis; led an AI clinical-data round.</t>
        </is>
      </c>
      <c r="K27" s="8" t="inlineStr">
        <is>
          <t>Carta Healthcare (clinical-data abstraction expanding to life sciences, adjacent to iViz/PRISM data; watch overlap, not a notebook/BI competitor).</t>
        </is>
      </c>
      <c r="L27" s="9" t="n">
        <v>0</v>
      </c>
      <c r="M27" s="8" t="inlineStr">
        <is>
          <t>Unknown</t>
        </is>
      </c>
      <c r="N27" s="7" t="inlineStr">
        <is>
          <t>Brent Burns</t>
        </is>
      </c>
      <c r="O27" s="7" t="inlineStr">
        <is>
          <t>EVP, UPMC Enterprises (confirm investment-team deal lead)</t>
        </is>
      </c>
      <c r="P27" s="8" t="inlineStr">
        <is>
          <t>Plausible via clinical partnerships; no named node confirmed. Mission-aligned health system.</t>
        </is>
      </c>
      <c r="Q27" s="9" t="n">
        <v>5</v>
      </c>
      <c r="R27" s="9" t="n">
        <v>4</v>
      </c>
      <c r="S27" s="9" t="n">
        <v>4</v>
      </c>
      <c r="T27" s="9" t="n">
        <v>0</v>
      </c>
      <c r="U27" s="9" t="n">
        <v>2</v>
      </c>
      <c r="V27" s="9" t="n">
        <v>4</v>
      </c>
      <c r="W27" s="10">
        <f>MAX(0,ROUND(Q27/5*Weights!$B$3+R27/5*Weights!$B$4+S27/5*Weights!$B$5+T27/5*Weights!$B$6+U27/5*Weights!$B$7+V27/5*Weights!$B$8-L27*Weights!$B$9,0))</f>
        <v>74</v>
      </c>
      <c r="X27" s="10" t="str">
        <f>IF(W27&gt;=Weights!$B$12,"A",IF(W27&gt;=Weights!$B$13,"B","C"))</f>
        <v>A</v>
      </c>
      <c r="Y27" s="11" t="inlineStr">
        <is>
          <t>Not contacted</t>
        </is>
      </c>
      <c r="Z27" s="7" t="inlineStr">
        <is>
          <t>Nate</t>
        </is>
      </c>
      <c r="AA27" s="8" t="inlineStr">
        <is>
          <t>Cleanest Segment B lead-fit; identify deal-team partner + email; explore PRISM/validation data angle.</t>
        </is>
      </c>
      <c r="AB27" s="7" t="inlineStr">
        <is>
          <t>2026-09-30</t>
        </is>
      </c>
      <c r="AC27" s="8" t="inlineStr">
        <is>
          <t>https://enterprises.upmc.com/resources/insights/upmc-enterprises-leads-investment-round-in-carta-healthcare-to-advance-ai-powered-clinical-data-management/</t>
        </is>
      </c>
      <c r="AD27" s="8" t="inlineStr">
        <is>
          <t>Strongest Segment B fit (leads, AI clinical-data thesis). Email convention Unknown; do not rely.</t>
        </is>
      </c>
    </row>
    <row r="28">
      <c r="A28" s="7" t="inlineStr">
        <is>
          <t>Osage University Partners (OUP)</t>
        </is>
      </c>
      <c r="B28" s="7" t="inlineStr">
        <is>
          <t>University-spinout fund</t>
        </is>
      </c>
      <c r="C28" s="7" t="inlineStr">
        <is>
          <t>Bala Cynwyd, PA</t>
        </is>
      </c>
      <c r="D28" s="8" t="inlineStr">
        <is>
          <t>Fund IV (launched 2023); ~$800M AUM</t>
        </is>
      </c>
      <c r="E28" s="8" t="inlineStr">
        <is>
          <t>Seed to late, co-invests/follows; university-IP spinouts only</t>
        </is>
      </c>
      <c r="F28" s="7" t="inlineStr">
        <is>
          <t>Unknown</t>
        </is>
      </c>
      <c r="G28" s="7" t="inlineStr">
        <is>
          <t>Rarely (follows)</t>
        </is>
      </c>
      <c r="H28" s="7" t="inlineStr">
        <is>
          <t>No</t>
        </is>
      </c>
      <c r="I28" s="8" t="inlineStr">
        <is>
          <t>Life sciences + tech across 100+ university partnerships; 130+ portfolio, 33 IPOs. 2025 Penn/BioNTech $50M university-IP fund.</t>
        </is>
      </c>
      <c r="J28" s="8" t="inlineStr">
        <is>
          <t>Invests across software/AI, but selection is gated by university-IP origin, not thesis.</t>
        </is>
      </c>
      <c r="K28" s="8" t="inlineStr">
        <is>
          <t>None competing directly with Foresight/iViz identified.</t>
        </is>
      </c>
      <c r="L28" s="9" t="n">
        <v>0</v>
      </c>
      <c r="M28" s="8" t="inlineStr">
        <is>
          <t>Unknown</t>
        </is>
      </c>
      <c r="N28" s="7" t="inlineStr">
        <is>
          <t>Marc Singer</t>
        </is>
      </c>
      <c r="O28" s="7" t="inlineStr">
        <is>
          <t>Managing Partner (alt: Bill Harrington, MP)</t>
        </is>
      </c>
      <c r="P28" s="8" t="inlineStr">
        <is>
          <t>Cold; no named node.</t>
        </is>
      </c>
      <c r="Q28" s="9" t="n">
        <v>4</v>
      </c>
      <c r="R28" s="9" t="n">
        <v>3</v>
      </c>
      <c r="S28" s="9" t="n">
        <v>2</v>
      </c>
      <c r="T28" s="9" t="n">
        <v>0</v>
      </c>
      <c r="U28" s="9" t="n">
        <v>1</v>
      </c>
      <c r="V28" s="9" t="n">
        <v>4</v>
      </c>
      <c r="W28" s="10">
        <f>MAX(0,ROUND(Q28/5*Weights!$B$3+R28/5*Weights!$B$4+S28/5*Weights!$B$5+T28/5*Weights!$B$6+U28/5*Weights!$B$7+V28/5*Weights!$B$8-L28*Weights!$B$9,0))</f>
        <v>54</v>
      </c>
      <c r="X28" s="10" t="str">
        <f>IF(W28&gt;=Weights!$B$12,"A",IF(W28&gt;=Weights!$B$13,"B","C"))</f>
        <v>B</v>
      </c>
      <c r="Y28" s="11" t="inlineStr">
        <is>
          <t>Not contacted</t>
        </is>
      </c>
      <c r="Z28" s="7" t="inlineStr">
        <is>
          <t>Nate</t>
        </is>
      </c>
      <c r="AA28" s="8" t="inlineStr">
        <is>
          <t>HARD GATE: only if Coharts licenses university IP. Confirm eligibility before any outreach.</t>
        </is>
      </c>
      <c r="AB28" s="7" t="inlineStr">
        <is>
          <t>2026-09-30</t>
        </is>
      </c>
      <c r="AC28" s="8" t="inlineStr">
        <is>
          <t>https://news.crunchbase.com/venture/osage-university-partners-raises-third-fund-for-university-research-spinouts/</t>
        </is>
      </c>
      <c r="AD28" s="8" t="inlineStr">
        <is>
          <t>Eligibility gate: invests ONLY in startups licensing university IP, and typically co-invests. Domain @oup.vc confirmed; marc@oup.vc / msinger@oup.vc inferred.</t>
        </is>
      </c>
    </row>
    <row r="29">
      <c r="A29" s="7" t="inlineStr">
        <is>
          <t>The Engine Ventures</t>
        </is>
      </c>
      <c r="B29" s="7" t="inlineStr">
        <is>
          <t>MIT-affiliated tough-tech fund</t>
        </is>
      </c>
      <c r="C29" s="7" t="inlineStr">
        <is>
          <t>Cambridge, MA</t>
        </is>
      </c>
      <c r="D29" s="8" t="inlineStr">
        <is>
          <t>Fund III, $398M, closed Jun 2024 (&gt;$1B AUM)</t>
        </is>
      </c>
      <c r="E29" s="8" t="inlineStr">
        <is>
          <t>Pre-seed to Series B, leads; MIT/research-origin tough tech</t>
        </is>
      </c>
      <c r="F29" s="7" t="inlineStr">
        <is>
          <t>Unknown</t>
        </is>
      </c>
      <c r="G29" s="7" t="inlineStr">
        <is>
          <t>Yes</t>
        </is>
      </c>
      <c r="H29" s="7" t="inlineStr">
        <is>
          <t>No</t>
        </is>
      </c>
      <c r="I29" s="8" t="inlineStr">
        <is>
          <t>Health + bio among sectors, but oriented to hard/deep tech (labs, materials, bio-hardware).</t>
        </is>
      </c>
      <c r="J29" s="8" t="inlineStr">
        <is>
          <t>AI among sectors; origin/tough-tech preference outweighs a pure-software AI thesis.</t>
        </is>
      </c>
      <c r="K29" s="8" t="inlineStr">
        <is>
          <t>None competing directly with Foresight/iViz identified.</t>
        </is>
      </c>
      <c r="L29" s="9" t="n">
        <v>0</v>
      </c>
      <c r="M29" s="8" t="inlineStr">
        <is>
          <t>Unknown</t>
        </is>
      </c>
      <c r="N29" s="7" t="inlineStr">
        <is>
          <t>Ann DeWitt</t>
        </is>
      </c>
      <c r="O29" s="7" t="inlineStr">
        <is>
          <t>General Partner (life sciences/bio; alt: Michael Kearney, GP)</t>
        </is>
      </c>
      <c r="P29" s="8" t="inlineStr">
        <is>
          <t>Cold; no named node.</t>
        </is>
      </c>
      <c r="Q29" s="9" t="n">
        <v>3</v>
      </c>
      <c r="R29" s="9" t="n">
        <v>3</v>
      </c>
      <c r="S29" s="9" t="n">
        <v>3</v>
      </c>
      <c r="T29" s="9" t="n">
        <v>0</v>
      </c>
      <c r="U29" s="9" t="n">
        <v>1</v>
      </c>
      <c r="V29" s="9" t="n">
        <v>5</v>
      </c>
      <c r="W29" s="10">
        <f>MAX(0,ROUND(Q29/5*Weights!$B$3+R29/5*Weights!$B$4+S29/5*Weights!$B$5+T29/5*Weights!$B$6+U29/5*Weights!$B$7+V29/5*Weights!$B$8-L29*Weights!$B$9,0))</f>
        <v>54</v>
      </c>
      <c r="X29" s="10" t="str">
        <f>IF(W29&gt;=Weights!$B$12,"A",IF(W29&gt;=Weights!$B$13,"B","C"))</f>
        <v>B</v>
      </c>
      <c r="Y29" s="11" t="inlineStr">
        <is>
          <t>Not contacted</t>
        </is>
      </c>
      <c r="Z29" s="7" t="inlineStr">
        <is>
          <t>Nate</t>
        </is>
      </c>
      <c r="AA29" s="8" t="inlineStr">
        <is>
          <t>Fit gate: strongest with an MIT/research-origin or tough-tech tie. Confirm before prioritizing.</t>
        </is>
      </c>
      <c r="AB29" s="7" t="inlineStr">
        <is>
          <t>2026-09-30</t>
        </is>
      </c>
      <c r="AC29" s="8" t="inlineStr">
        <is>
          <t>https://www.forbes.com/sites/alexknapp/2024/06/18/mit-spinout-the-engine-ventures-raises-new-400-million-fund-to-tackle-techs-toughest-problems/; https://engineventures.com/about/leadership</t>
        </is>
      </c>
      <c r="AD29" s="8" t="inlineStr">
        <is>
          <t>Prefers MIT/research-institution origin, deep/hard tech; pure-software applied-AI is a softer fit. Email inferred: ann@engineventures.com (first@engineventures.com ~85%).</t>
        </is>
      </c>
    </row>
    <row r="30">
      <c r="A30" s="7" t="inlineStr">
        <is>
          <t>Alexandria Venture Investments</t>
        </is>
      </c>
      <c r="B30" s="7" t="inlineStr">
        <is>
          <t>Real-estate-affiliated life-science venture arm</t>
        </is>
      </c>
      <c r="C30" s="7" t="inlineStr">
        <is>
          <t>Pasadena, CA</t>
        </is>
      </c>
      <c r="D30" s="8" t="inlineStr">
        <is>
          <t>Venture affiliate of Alexandria Real Estate (NYSE: ARE)</t>
        </is>
      </c>
      <c r="E30" s="8" t="inlineStr">
        <is>
          <t>Seed to late, co-invests via lab-tenant ecosystem; rarely sole-leads</t>
        </is>
      </c>
      <c r="F30" s="7" t="inlineStr">
        <is>
          <t>Unknown (avg seed ~$10M)</t>
        </is>
      </c>
      <c r="G30" s="7" t="inlineStr">
        <is>
          <t>Rarely (co-invests)</t>
        </is>
      </c>
      <c r="H30" s="7" t="inlineStr">
        <is>
          <t>No</t>
        </is>
      </c>
      <c r="I30" s="8" t="inlineStr">
        <is>
          <t>Very active in biotech/diagnostics (~$2.7B, 32 new companies 2024), but wet-lab/therapeutics oriented.</t>
        </is>
      </c>
      <c r="J30" s="8" t="inlineStr">
        <is>
          <t>Limited; some AI-clinical-workflow exposure (mediaire). Thin for a software IaaS.</t>
        </is>
      </c>
      <c r="K30" s="8" t="inlineStr">
        <is>
          <t>None competing directly with Foresight/iViz identified.</t>
        </is>
      </c>
      <c r="L30" s="9" t="n">
        <v>0</v>
      </c>
      <c r="M30" s="8" t="inlineStr">
        <is>
          <t>Unknown</t>
        </is>
      </c>
      <c r="N30" s="7" t="inlineStr">
        <is>
          <t>Unknown (route via venture team, not Exec Chairman Joel Marcus)</t>
        </is>
      </c>
      <c r="O30" s="7" t="inlineStr">
        <is>
          <t>Unknown</t>
        </is>
      </c>
      <c r="P30" s="8" t="inlineStr">
        <is>
          <t>Cold; no named node.</t>
        </is>
      </c>
      <c r="Q30" s="9" t="n">
        <v>4</v>
      </c>
      <c r="R30" s="9" t="n">
        <v>2</v>
      </c>
      <c r="S30" s="9" t="n">
        <v>2</v>
      </c>
      <c r="T30" s="9" t="n">
        <v>0</v>
      </c>
      <c r="U30" s="9" t="n">
        <v>1</v>
      </c>
      <c r="V30" s="9" t="n">
        <v>5</v>
      </c>
      <c r="W30" s="10">
        <f>MAX(0,ROUND(Q30/5*Weights!$B$3+R30/5*Weights!$B$4+S30/5*Weights!$B$5+T30/5*Weights!$B$6+U30/5*Weights!$B$7+V30/5*Weights!$B$8-L30*Weights!$B$9,0))</f>
        <v>52</v>
      </c>
      <c r="X30" s="10" t="str">
        <f>IF(W30&gt;=Weights!$B$12,"A",IF(W30&gt;=Weights!$B$13,"B","C"))</f>
        <v>B</v>
      </c>
      <c r="Y30" s="11" t="inlineStr">
        <is>
          <t>Not contacted</t>
        </is>
      </c>
      <c r="Z30" s="7" t="inlineStr">
        <is>
          <t>Nate</t>
        </is>
      </c>
      <c r="AA30" s="8" t="inlineStr">
        <is>
          <t>Moderate fit (wet-lab oriented, co-invests); identify a venture-team contact.</t>
        </is>
      </c>
      <c r="AB30" s="7" t="inlineStr">
        <is>
          <t>2026-09-30</t>
        </is>
      </c>
      <c r="AC30" s="8" t="inlineStr">
        <is>
          <t>https://tracxn.com/d/venture-capital/alexandria-venture-investments/; https://pharmashots.com/23062/know-your-investor-alexandria-venture-may25-edition/</t>
        </is>
      </c>
      <c r="AD30" s="8" t="inlineStr">
        <is>
          <t>Wet-lab/therapeutics oriented; moderate fit for software IaaS. Best-fit partner Unknown; corporate domain likely @are.com (inferred).</t>
        </is>
      </c>
    </row>
    <row r="31">
      <c r="A31" s="7" t="inlineStr">
        <is>
          <t>Mayo Clinic Ventures / Platform</t>
        </is>
      </c>
      <c r="B31" s="7" t="inlineStr">
        <is>
          <t>Health-system venture + IP commercialization</t>
        </is>
      </c>
      <c r="C31" s="7" t="inlineStr">
        <is>
          <t>Rochester, MN</t>
        </is>
      </c>
      <c r="D31" s="8" t="inlineStr">
        <is>
          <t>Mayo Clinic Ventures; Platform_Accelerate + Platform_Insights (2025)</t>
        </is>
      </c>
      <c r="E31" s="8" t="inlineStr">
        <is>
          <t>IP commercialization + accelerator/co-invest; sole-lead seed unconfirmed</t>
        </is>
      </c>
      <c r="F31" s="7" t="inlineStr">
        <is>
          <t>Unknown</t>
        </is>
      </c>
      <c r="G31" s="7" t="inlineStr">
        <is>
          <t>Unknown</t>
        </is>
      </c>
      <c r="H31" s="7" t="inlineStr">
        <is>
          <t>No</t>
        </is>
      </c>
      <c r="I31" s="8" t="inlineStr">
        <is>
          <t>Large-scale clinical data (26 PB) + AI-digital-health; Platform_Accelerate cohorts of AI health-tech startups.</t>
        </is>
      </c>
      <c r="J31" s="8" t="inlineStr">
        <is>
          <t>AI + real-world clinical data + clinical-research applications, directly relevant to Foresight validation and iViz.</t>
        </is>
      </c>
      <c r="K31" s="8" t="inlineStr">
        <is>
          <t>None competing directly with Foresight/iViz identified.</t>
        </is>
      </c>
      <c r="L31" s="9" t="n">
        <v>0</v>
      </c>
      <c r="M31" s="8" t="inlineStr">
        <is>
          <t>Unknown</t>
        </is>
      </c>
      <c r="N31" s="7" t="inlineStr">
        <is>
          <t>Unknown (Mayo Clinic Ventures investment lead)</t>
        </is>
      </c>
      <c r="O31" s="7" t="inlineStr">
        <is>
          <t>Unknown</t>
        </is>
      </c>
      <c r="P31" s="8" t="inlineStr">
        <is>
          <t>Plausible via clinical/data partnership (Platform_Insights); no named node.</t>
        </is>
      </c>
      <c r="Q31" s="9" t="n">
        <v>5</v>
      </c>
      <c r="R31" s="9" t="n">
        <v>4</v>
      </c>
      <c r="S31" s="9" t="n">
        <v>2</v>
      </c>
      <c r="T31" s="9" t="n">
        <v>0</v>
      </c>
      <c r="U31" s="9" t="n">
        <v>2</v>
      </c>
      <c r="V31" s="9" t="n">
        <v>3</v>
      </c>
      <c r="W31" s="10">
        <f>MAX(0,ROUND(Q31/5*Weights!$B$3+R31/5*Weights!$B$4+S31/5*Weights!$B$5+T31/5*Weights!$B$6+U31/5*Weights!$B$7+V31/5*Weights!$B$8-L31*Weights!$B$9,0))</f>
        <v>64</v>
      </c>
      <c r="X31" s="10" t="str">
        <f>IF(W31&gt;=Weights!$B$12,"A",IF(W31&gt;=Weights!$B$13,"B","C"))</f>
        <v>B</v>
      </c>
      <c r="Y31" s="11" t="inlineStr">
        <is>
          <t>Not contacted</t>
        </is>
      </c>
      <c r="Z31" s="7" t="inlineStr">
        <is>
          <t>Nate</t>
        </is>
      </c>
      <c r="AA31" s="8" t="inlineStr">
        <is>
          <t>Pursue as validation-data + accelerator partnership as much as investment; identify contact.</t>
        </is>
      </c>
      <c r="AB31" s="7" t="inlineStr">
        <is>
          <t>2026-09-30</t>
        </is>
      </c>
      <c r="AC31" s="8" t="inlineStr">
        <is>
          <t>https://newsnetwork.mayoclinic.org/discussion/mayo-clinic-launches-mayo-clinic-platform_insights-to-advance-digital-innovation-and-quality-improvement-across-healthcare/; https://hitconsultant.net/2025/10/14/mayo-clinic-platform_accelerate-unveils-new-cohort-of-ai-health-tech-startups/</t>
        </is>
      </c>
      <c r="AD31" s="8" t="inlineStr">
        <is>
          <t>Strategic/accelerator + data partner (Platform_Insights) as much as investor. Specific investment contact + email Unknown; Mayo domain @mayo.edu.</t>
        </is>
      </c>
    </row>
    <row r="32">
      <c r="A32" s="7" t="inlineStr">
        <is>
          <t>Artis Ventures (AV)</t>
        </is>
      </c>
      <c r="B32" s="7" t="inlineStr">
        <is>
          <t>TechBio early-stage VC</t>
        </is>
      </c>
      <c r="C32" s="7" t="inlineStr">
        <is>
          <t>San Francisco, CA</t>
        </is>
      </c>
      <c r="D32" s="8" t="inlineStr">
        <is>
          <t>TechBio II, $200M</t>
        </is>
      </c>
      <c r="E32" s="8" t="inlineStr">
        <is>
          <t>Seed to Series B; leads</t>
        </is>
      </c>
      <c r="F32" s="7" t="inlineStr">
        <is>
          <t>Unknown</t>
        </is>
      </c>
      <c r="G32" s="7" t="inlineStr">
        <is>
          <t>Yes</t>
        </is>
      </c>
      <c r="H32" s="7" t="inlineStr">
        <is>
          <t>No</t>
        </is>
      </c>
      <c r="I32" s="8" t="inlineStr">
        <is>
          <t>TechBio-native (coined the term); Freenome, Stemcentrx, Cartography Biosciences.</t>
        </is>
      </c>
      <c r="J32" s="8" t="inlineStr">
        <is>
          <t>Thesis: data/software/AI/ML to revolutionize human health; AI-native portfolio.</t>
        </is>
      </c>
      <c r="K32" s="8" t="inlineStr">
        <is>
          <t>None competing directly with Foresight/iViz identified.</t>
        </is>
      </c>
      <c r="L32" s="9" t="n">
        <v>0</v>
      </c>
      <c r="M32" s="8" t="inlineStr">
        <is>
          <t>Unknown</t>
        </is>
      </c>
      <c r="N32" s="7" t="inlineStr">
        <is>
          <t>Austin Walne (or Stuart Peterson)</t>
        </is>
      </c>
      <c r="O32" s="7" t="inlineStr">
        <is>
          <t>Partner (co-leads TechBio) / Managing GP</t>
        </is>
      </c>
      <c r="P32" s="8" t="inlineStr">
        <is>
          <t>Cold; open inbound. No named node.</t>
        </is>
      </c>
      <c r="Q32" s="9" t="n">
        <v>5</v>
      </c>
      <c r="R32" s="9" t="n">
        <v>5</v>
      </c>
      <c r="S32" s="9" t="n">
        <v>5</v>
      </c>
      <c r="T32" s="9" t="n">
        <v>0</v>
      </c>
      <c r="U32" s="9" t="n">
        <v>1</v>
      </c>
      <c r="V32" s="9" t="n">
        <v>5</v>
      </c>
      <c r="W32" s="10">
        <f>MAX(0,ROUND(Q32/5*Weights!$B$3+R32/5*Weights!$B$4+S32/5*Weights!$B$5+T32/5*Weights!$B$6+U32/5*Weights!$B$7+V32/5*Weights!$B$8-L32*Weights!$B$9,0))</f>
        <v>82</v>
      </c>
      <c r="X32" s="10" t="str">
        <f>IF(W32&gt;=Weights!$B$12,"A",IF(W32&gt;=Weights!$B$13,"B","C"))</f>
        <v>A</v>
      </c>
      <c r="Y32" s="11" t="inlineStr">
        <is>
          <t>Not contacted</t>
        </is>
      </c>
      <c r="Z32" s="7" t="inlineStr">
        <is>
          <t>Nate</t>
        </is>
      </c>
      <c r="AA32" s="8" t="inlineStr">
        <is>
          <t>Prime TechBio lead; from this list source. Verify email and a fresh 2025-26 deal.</t>
        </is>
      </c>
      <c r="AB32" s="7" t="inlineStr">
        <is>
          <t>2026-10-05</t>
        </is>
      </c>
      <c r="AC32" s="8" t="inlineStr">
        <is>
          <t>https://www.av.co/news/techbio-ii-ushering-in-the-next-era-of-techbio-innovation; https://drypowdercapital.beehiiv.com/p/artis-ventures-closes-200m-fund</t>
        </is>
      </c>
      <c r="AD32" s="8" t="inlineStr">
        <is>
          <t>Sourced via Jennacap.ai. Door A (TechBio). contact@av.co verified; aw@av.co / sp@av.co inferred (~92% fl-initials pattern).</t>
        </is>
      </c>
    </row>
    <row r="33">
      <c r="A33" s="7" t="inlineStr">
        <is>
          <t>2048 Ventures</t>
        </is>
      </c>
      <c r="B33" s="7" t="inlineStr">
        <is>
          <t>Pre-seed/seed fund (Vertical AI, Health, Bio)</t>
        </is>
      </c>
      <c r="C33" s="7" t="inlineStr">
        <is>
          <t>New York, NY / Canada</t>
        </is>
      </c>
      <c r="D33" s="8" t="inlineStr">
        <is>
          <t>Fund III, $82M, closed Jan 2026</t>
        </is>
      </c>
      <c r="E33" s="8" t="inlineStr">
        <is>
          <t>Leads pre-seed and seed</t>
        </is>
      </c>
      <c r="F33" s="7" t="inlineStr">
        <is>
          <t>$500K to $3M</t>
        </is>
      </c>
      <c r="G33" s="7" t="inlineStr">
        <is>
          <t>Yes</t>
        </is>
      </c>
      <c r="H33" s="7" t="inlineStr">
        <is>
          <t>No</t>
        </is>
      </c>
      <c r="I33" s="8" t="inlineStr">
        <is>
          <t>Explicit Health + Bio mandate; 80+ portfolio.</t>
        </is>
      </c>
      <c r="J33" s="8" t="inlineStr">
        <is>
          <t>Vertical AI core thesis; AI-native portfolio.</t>
        </is>
      </c>
      <c r="K33" s="8" t="inlineStr">
        <is>
          <t>None competing directly with Foresight/iViz identified.</t>
        </is>
      </c>
      <c r="L33" s="9" t="n">
        <v>0</v>
      </c>
      <c r="M33" s="8" t="inlineStr">
        <is>
          <t>Unknown</t>
        </is>
      </c>
      <c r="N33" s="7" t="inlineStr">
        <is>
          <t>Alex Iskold (or Paul Sethi)</t>
        </is>
      </c>
      <c r="O33" s="7" t="inlineStr">
        <is>
          <t>Founder &amp; GP / Co-Founder &amp; MP</t>
        </is>
      </c>
      <c r="P33" s="8" t="inlineStr">
        <is>
          <t>Cold; open inbound. No named node.</t>
        </is>
      </c>
      <c r="Q33" s="9" t="n">
        <v>4</v>
      </c>
      <c r="R33" s="9" t="n">
        <v>5</v>
      </c>
      <c r="S33" s="9" t="n">
        <v>5</v>
      </c>
      <c r="T33" s="9" t="n">
        <v>3</v>
      </c>
      <c r="U33" s="9" t="n">
        <v>1</v>
      </c>
      <c r="V33" s="9" t="n">
        <v>5</v>
      </c>
      <c r="W33" s="10">
        <f>MAX(0,ROUND(Q33/5*Weights!$B$3+R33/5*Weights!$B$4+S33/5*Weights!$B$5+T33/5*Weights!$B$6+U33/5*Weights!$B$7+V33/5*Weights!$B$8-L33*Weights!$B$9,0))</f>
        <v>82</v>
      </c>
      <c r="X33" s="10" t="str">
        <f>IF(W33&gt;=Weights!$B$12,"A",IF(W33&gt;=Weights!$B$13,"B","C"))</f>
        <v>A</v>
      </c>
      <c r="Y33" s="11" t="inlineStr">
        <is>
          <t>Not contacted</t>
        </is>
      </c>
      <c r="Z33" s="7" t="inlineStr">
        <is>
          <t>Nate</t>
        </is>
      </c>
      <c r="AA33" s="8" t="inlineStr">
        <is>
          <t>Strong seed-lead fit; fresh fund. Sourced via Jennacap.ai.</t>
        </is>
      </c>
      <c r="AB33" s="7" t="inlineStr">
        <is>
          <t>2026-10-05</t>
        </is>
      </c>
      <c r="AC33" s="8" t="inlineStr">
        <is>
          <t>https://www.2048.vc/blog/2048-ventures-raises-67m-fund-ii-to-lead-pre-seed-rounds-across-us-and-canada; https://2048.vc/team</t>
        </is>
      </c>
      <c r="AD33" s="8" t="inlineStr">
        <is>
          <t>Sourced via Jennacap.ai. Door A+B. alex@2048.vc Verified (pattern first@2048.vc). $500K-$3M fits as co-lead on a $6M seed.</t>
        </is>
      </c>
    </row>
    <row r="34">
      <c r="A34" s="7" t="inlineStr">
        <is>
          <t>Modi Ventures</t>
        </is>
      </c>
      <c r="B34" s="7" t="inlineStr">
        <is>
          <t>TechBio seed/early fund (AI x biology)</t>
        </is>
      </c>
      <c r="C34" s="7" t="inlineStr">
        <is>
          <t>Houston, TX</t>
        </is>
      </c>
      <c r="D34" s="8" t="inlineStr">
        <is>
          <t>Fund II, $88M, closed summer 2025 (~$134M AUM)</t>
        </is>
      </c>
      <c r="E34" s="8" t="inlineStr">
        <is>
          <t>Early-stage; leads/co-leads</t>
        </is>
      </c>
      <c r="F34" s="7" t="inlineStr">
        <is>
          <t>Unknown</t>
        </is>
      </c>
      <c r="G34" s="7" t="inlineStr">
        <is>
          <t>Yes/co</t>
        </is>
      </c>
      <c r="H34" s="7" t="inlineStr">
        <is>
          <t>No</t>
        </is>
      </c>
      <c r="I34" s="8" t="inlineStr">
        <is>
          <t>AI x biology 'biostack'; Generate:Biomedicines, Atomic AI, Lila Sciences, Latus Bio, Flagship ties.</t>
        </is>
      </c>
      <c r="J34" s="8" t="inlineStr">
        <is>
          <t>AI x biology convergence thesis; AI-native portfolio.</t>
        </is>
      </c>
      <c r="K34" s="8" t="inlineStr">
        <is>
          <t>AI drug-discovery platforms (Generate, Atomic AI, Lila) are adjacent, not competing.</t>
        </is>
      </c>
      <c r="L34" s="9" t="n">
        <v>0</v>
      </c>
      <c r="M34" s="8" t="inlineStr">
        <is>
          <t>Unknown</t>
        </is>
      </c>
      <c r="N34" s="7" t="inlineStr">
        <is>
          <t>Sahir Ali, PhD</t>
        </is>
      </c>
      <c r="O34" s="7" t="inlineStr">
        <is>
          <t>Founder &amp; General Partner</t>
        </is>
      </c>
      <c r="P34" s="8" t="inlineStr">
        <is>
          <t>Cold; open inbound. No named node.</t>
        </is>
      </c>
      <c r="Q34" s="9" t="n">
        <v>5</v>
      </c>
      <c r="R34" s="9" t="n">
        <v>5</v>
      </c>
      <c r="S34" s="9" t="n">
        <v>4</v>
      </c>
      <c r="T34" s="9" t="n">
        <v>0</v>
      </c>
      <c r="U34" s="9" t="n">
        <v>1</v>
      </c>
      <c r="V34" s="9" t="n">
        <v>5</v>
      </c>
      <c r="W34" s="10">
        <f>MAX(0,ROUND(Q34/5*Weights!$B$3+R34/5*Weights!$B$4+S34/5*Weights!$B$5+T34/5*Weights!$B$6+U34/5*Weights!$B$7+V34/5*Weights!$B$8-L34*Weights!$B$9,0))</f>
        <v>78</v>
      </c>
      <c r="X34" s="10" t="str">
        <f>IF(W34&gt;=Weights!$B$12,"A",IF(W34&gt;=Weights!$B$13,"B","C"))</f>
        <v>A</v>
      </c>
      <c r="Y34" s="11" t="inlineStr">
        <is>
          <t>Not contacted</t>
        </is>
      </c>
      <c r="Z34" s="7" t="inlineStr">
        <is>
          <t>Nate</t>
        </is>
      </c>
      <c r="AA34" s="8" t="inlineStr">
        <is>
          <t>Prime AI x biology lead/co-lead; fresh fund. Sourced via Jennacap.ai.</t>
        </is>
      </c>
      <c r="AB34" s="7" t="inlineStr">
        <is>
          <t>2026-10-05</t>
        </is>
      </c>
      <c r="AC34" s="8" t="inlineStr">
        <is>
          <t>https://vcwire.tech/2025/07/18/modi-ventures-closes-second-fund-at-88m/; https://www.modivc.com/about-us</t>
        </is>
      </c>
      <c r="AD34" s="8" t="inlineStr">
        <is>
          <t>Sourced via Jennacap.ai. Door A. info@modivc.com verified; sahir@modivc.com inferred. AI-drug-discovery holdings adjacent (flag, not conflict).</t>
        </is>
      </c>
    </row>
    <row r="35">
      <c r="A35" s="7" t="inlineStr">
        <is>
          <t>Coho Deeptech</t>
        </is>
      </c>
      <c r="B35" s="7" t="inlineStr">
        <is>
          <t>Pre-seed/seed deep-science &amp; tech fund</t>
        </is>
      </c>
      <c r="C35" s="7" t="inlineStr">
        <is>
          <t>San Francisco, CA</t>
        </is>
      </c>
      <c r="D35" s="8" t="inlineStr">
        <is>
          <t>Undisclosed (small independent fund)</t>
        </is>
      </c>
      <c r="E35" s="8" t="inlineStr">
        <is>
          <t>Pre-seed and seed; leads selective early</t>
        </is>
      </c>
      <c r="F35" s="7" t="inlineStr">
        <is>
          <t>Unknown</t>
        </is>
      </c>
      <c r="G35" s="7" t="inlineStr">
        <is>
          <t>Selective (early)</t>
        </is>
      </c>
      <c r="H35" s="7" t="inlineStr">
        <is>
          <t>No</t>
        </is>
      </c>
      <c r="I35" s="8" t="inlineStr">
        <is>
          <t>AI + bio/health thesis; Assort Health (healthcare AI, Mar 2025), Starling Medical (Dec 2024).</t>
        </is>
      </c>
      <c r="J35" s="8" t="inlineStr">
        <is>
          <t>AI-native portfolio: Cartesia, Bland AI, Runware, AudioShake.</t>
        </is>
      </c>
      <c r="K35" s="8" t="inlineStr">
        <is>
          <t>None competing directly with Foresight/iViz identified.</t>
        </is>
      </c>
      <c r="L35" s="9" t="n">
        <v>0</v>
      </c>
      <c r="M35" s="8" t="inlineStr">
        <is>
          <t>Unknown</t>
        </is>
      </c>
      <c r="N35" s="7" t="inlineStr">
        <is>
          <t>Elvis Zhang (or Jennifer Zhai)</t>
        </is>
      </c>
      <c r="O35" s="7" t="inlineStr">
        <is>
          <t>Founder / Partner</t>
        </is>
      </c>
      <c r="P35" s="8" t="inlineStr">
        <is>
          <t>Cold; open inbound. No named node.</t>
        </is>
      </c>
      <c r="Q35" s="9" t="n">
        <v>3</v>
      </c>
      <c r="R35" s="9" t="n">
        <v>5</v>
      </c>
      <c r="S35" s="9" t="n">
        <v>4</v>
      </c>
      <c r="T35" s="9" t="n">
        <v>0</v>
      </c>
      <c r="U35" s="9" t="n">
        <v>1</v>
      </c>
      <c r="V35" s="9" t="n">
        <v>5</v>
      </c>
      <c r="W35" s="10">
        <f>MAX(0,ROUND(Q35/5*Weights!$B$3+R35/5*Weights!$B$4+S35/5*Weights!$B$5+T35/5*Weights!$B$6+U35/5*Weights!$B$7+V35/5*Weights!$B$8-L35*Weights!$B$9,0))</f>
        <v>66</v>
      </c>
      <c r="X35" s="10" t="str">
        <f>IF(W35&gt;=Weights!$B$12,"A",IF(W35&gt;=Weights!$B$13,"B","C"))</f>
        <v>B</v>
      </c>
      <c r="Y35" s="11" t="inlineStr">
        <is>
          <t>Not contacted</t>
        </is>
      </c>
      <c r="Z35" s="7" t="inlineStr">
        <is>
          <t>Nate</t>
        </is>
      </c>
      <c r="AA35" s="8" t="inlineStr">
        <is>
          <t>High-conviction early check; too small to lead a full $6M alone. Sourced via Jennacap.ai.</t>
        </is>
      </c>
      <c r="AB35" s="7" t="inlineStr">
        <is>
          <t>2026-10-05</t>
        </is>
      </c>
      <c r="AC35" s="8" t="inlineStr">
        <is>
          <t>https://www.cohovc.com/; https://tracxn.com/d/venture-capital/coho/__M93dJlKqyG7YR1R9JEguYPwAoyrwT9UDeapYtK2mALc</t>
        </is>
      </c>
      <c r="AD35" s="8" t="inlineStr">
        <is>
          <t>Sourced via Jennacap.ai. Door A+B. partners@cohovc.com verified; first@cohovc.com inferred. Fund size undisclosed.</t>
        </is>
      </c>
    </row>
    <row r="36">
      <c r="A36" s="7" t="inlineStr">
        <is>
          <t>First Star Ventures</t>
        </is>
      </c>
      <c r="B36" s="7" t="inlineStr">
        <is>
          <t>Pre-seed/seed deep-tech fund (computing x real-world)</t>
        </is>
      </c>
      <c r="C36" s="7" t="inlineStr">
        <is>
          <t>Cambridge, MA</t>
        </is>
      </c>
      <c r="D36" s="8" t="inlineStr">
        <is>
          <t>Fund III closed Jun 2025 (prior ~$40M)</t>
        </is>
      </c>
      <c r="E36" s="8" t="inlineStr">
        <is>
          <t>Pre-seed and seed; leads</t>
        </is>
      </c>
      <c r="F36" s="7" t="inlineStr">
        <is>
          <t>$100K to $1M</t>
        </is>
      </c>
      <c r="G36" s="7" t="inlineStr">
        <is>
          <t>Yes (small)</t>
        </is>
      </c>
      <c r="H36" s="7" t="inlineStr">
        <is>
          <t>No</t>
        </is>
      </c>
      <c r="I36" s="8" t="inlineStr">
        <is>
          <t>'Computational biotechnology' in thesis; techbio + frontier-computing portfolio.</t>
        </is>
      </c>
      <c r="J36" s="8" t="inlineStr">
        <is>
          <t>Frontier computing + AI; anti-SaaS-playbook, infra-leaning.</t>
        </is>
      </c>
      <c r="K36" s="8" t="inlineStr">
        <is>
          <t>None competing directly with Foresight/iViz identified.</t>
        </is>
      </c>
      <c r="L36" s="9" t="n">
        <v>0</v>
      </c>
      <c r="M36" s="8" t="inlineStr">
        <is>
          <t>Unknown</t>
        </is>
      </c>
      <c r="N36" s="7" t="inlineStr">
        <is>
          <t>Millie Liu (or Drew Volpe)</t>
        </is>
      </c>
      <c r="O36" s="7" t="inlineStr">
        <is>
          <t>Founder &amp; Managing Partner</t>
        </is>
      </c>
      <c r="P36" s="8" t="inlineStr">
        <is>
          <t>Cold; open inbound. No named node.</t>
        </is>
      </c>
      <c r="Q36" s="9" t="n">
        <v>3</v>
      </c>
      <c r="R36" s="9" t="n">
        <v>5</v>
      </c>
      <c r="S36" s="9" t="n">
        <v>4</v>
      </c>
      <c r="T36" s="9" t="n">
        <v>1</v>
      </c>
      <c r="U36" s="9" t="n">
        <v>1</v>
      </c>
      <c r="V36" s="9" t="n">
        <v>5</v>
      </c>
      <c r="W36" s="10">
        <f>MAX(0,ROUND(Q36/5*Weights!$B$3+R36/5*Weights!$B$4+S36/5*Weights!$B$5+T36/5*Weights!$B$6+U36/5*Weights!$B$7+V36/5*Weights!$B$8-L36*Weights!$B$9,0))</f>
        <v>68</v>
      </c>
      <c r="X36" s="10" t="str">
        <f>IF(W36&gt;=Weights!$B$12,"A",IF(W36&gt;=Weights!$B$13,"B","C"))</f>
        <v>B</v>
      </c>
      <c r="Y36" s="11" t="inlineStr">
        <is>
          <t>Not contacted</t>
        </is>
      </c>
      <c r="Z36" s="7" t="inlineStr">
        <is>
          <t>Nate</t>
        </is>
      </c>
      <c r="AA36" s="8" t="inlineStr">
        <is>
          <t>Early anchor/co-lead; check too small to lead a $6M alone. Sourced via Jennacap.ai.</t>
        </is>
      </c>
      <c r="AB36" s="7" t="inlineStr">
        <is>
          <t>2026-10-05</t>
        </is>
      </c>
      <c r="AC36" s="8" t="inlineStr">
        <is>
          <t>https://www.vcsheet.com/fund/first-star-ventures; https://startupintros.com/orgs/first-star-ventures</t>
        </is>
      </c>
      <c r="AD36" s="8" t="inlineStr">
        <is>
          <t>Sourced via Jennacap.ai. Door A+B. millie@firststar.vc likely (pattern first@firststar.vc). $100K-$1M checks.</t>
        </is>
      </c>
    </row>
    <row r="37">
      <c r="A37" s="7" t="inlineStr">
        <is>
          <t>Asset Management Ventures (AMV)</t>
        </is>
      </c>
      <c r="B37" s="7" t="inlineStr">
        <is>
          <t>Early-stage VC (digital health, tech, life sciences)</t>
        </is>
      </c>
      <c r="C37" s="7" t="inlineStr">
        <is>
          <t>Palo Alto, CA</t>
        </is>
      </c>
      <c r="D37" s="8" t="inlineStr">
        <is>
          <t>Fund V, $150M (2020)</t>
        </is>
      </c>
      <c r="E37" s="8" t="inlineStr">
        <is>
          <t>Seed and Series A; leads</t>
        </is>
      </c>
      <c r="F37" s="7" t="inlineStr">
        <is>
          <t>Unknown</t>
        </is>
      </c>
      <c r="G37" s="7" t="inlineStr">
        <is>
          <t>Yes</t>
        </is>
      </c>
      <c r="H37" s="7" t="inlineStr">
        <is>
          <t>No</t>
        </is>
      </c>
      <c r="I37" s="8" t="inlineStr">
        <is>
          <t>Digital health + life sciences; Autonomize (AI, Jun 2025), Outcomes4Me.</t>
        </is>
      </c>
      <c r="J37" s="8" t="inlineStr">
        <is>
          <t>Some AI (Autonomize); not an AI-first fund.</t>
        </is>
      </c>
      <c r="K37" s="8" t="inlineStr">
        <is>
          <t>None competing directly with Foresight/iViz identified.</t>
        </is>
      </c>
      <c r="L37" s="9" t="n">
        <v>0</v>
      </c>
      <c r="M37" s="8" t="inlineStr">
        <is>
          <t>Unknown</t>
        </is>
      </c>
      <c r="N37" s="7" t="inlineStr">
        <is>
          <t>Skip Fleshman (or Lou Lange)</t>
        </is>
      </c>
      <c r="O37" s="7" t="inlineStr">
        <is>
          <t>Partner</t>
        </is>
      </c>
      <c r="P37" s="8" t="inlineStr">
        <is>
          <t>Cold; open inbound. No named node.</t>
        </is>
      </c>
      <c r="Q37" s="9" t="n">
        <v>4</v>
      </c>
      <c r="R37" s="9" t="n">
        <v>3</v>
      </c>
      <c r="S37" s="9" t="n">
        <v>4</v>
      </c>
      <c r="T37" s="9" t="n">
        <v>0</v>
      </c>
      <c r="U37" s="9" t="n">
        <v>1</v>
      </c>
      <c r="V37" s="9" t="n">
        <v>3</v>
      </c>
      <c r="W37" s="10">
        <f>MAX(0,ROUND(Q37/5*Weights!$B$3+R37/5*Weights!$B$4+S37/5*Weights!$B$5+T37/5*Weights!$B$6+U37/5*Weights!$B$7+V37/5*Weights!$B$8-L37*Weights!$B$9,0))</f>
        <v>60</v>
      </c>
      <c r="X37" s="10" t="str">
        <f>IF(W37&gt;=Weights!$B$12,"A",IF(W37&gt;=Weights!$B$13,"B","C"))</f>
        <v>B</v>
      </c>
      <c r="Y37" s="11" t="inlineStr">
        <is>
          <t>Not contacted</t>
        </is>
      </c>
      <c r="Z37" s="7" t="inlineStr">
        <is>
          <t>Nate</t>
        </is>
      </c>
      <c r="AA37" s="8" t="inlineStr">
        <is>
          <t>Plausible seed lead/co-lead; low deal cadence, selective. Sourced via Jennacap.ai.</t>
        </is>
      </c>
      <c r="AB37" s="7" t="inlineStr">
        <is>
          <t>2026-10-05</t>
        </is>
      </c>
      <c r="AC37" s="8" t="inlineStr">
        <is>
          <t>https://assetman.com/; https://theorg.com/org/asset-management-ventures-amv</t>
        </is>
      </c>
      <c r="AD37" s="8" t="inlineStr">
        <is>
          <t>Sourced via Jennacap.ai. Door A+B. Email pattern unconfirmed (first@assetman.com inferred). Fund V 2020 is aging.</t>
        </is>
      </c>
    </row>
    <row r="38">
      <c r="A38" s="7" t="inlineStr">
        <is>
          <t>1984 Ventures</t>
        </is>
      </c>
      <c r="B38" s="7" t="inlineStr">
        <is>
          <t>Seed vertical-software fund</t>
        </is>
      </c>
      <c r="C38" s="7" t="inlineStr">
        <is>
          <t>San Francisco, CA</t>
        </is>
      </c>
      <c r="D38" s="8" t="inlineStr">
        <is>
          <t>Undisclosed (active seed fund)</t>
        </is>
      </c>
      <c r="E38" s="8" t="inlineStr">
        <is>
          <t>Leads first (seed) rounds</t>
        </is>
      </c>
      <c r="F38" s="7" t="inlineStr">
        <is>
          <t>Up to ~$1M lead</t>
        </is>
      </c>
      <c r="G38" s="7" t="inlineStr">
        <is>
          <t>Yes (small check)</t>
        </is>
      </c>
      <c r="H38" s="7" t="inlineStr">
        <is>
          <t>No</t>
        </is>
      </c>
      <c r="I38" s="8" t="inlineStr">
        <is>
          <t>Digital-health lane: software that expands capacity inside clinical systems (on-message).</t>
        </is>
      </c>
      <c r="J38" s="8" t="inlineStr">
        <is>
          <t>Vertical AI + developer tools &amp; infrastructure core thesis.</t>
        </is>
      </c>
      <c r="K38" s="8" t="inlineStr">
        <is>
          <t>None competing directly with Foresight/iViz identified.</t>
        </is>
      </c>
      <c r="L38" s="9" t="n">
        <v>0</v>
      </c>
      <c r="M38" s="8" t="inlineStr">
        <is>
          <t>Unknown</t>
        </is>
      </c>
      <c r="N38" s="7" t="inlineStr">
        <is>
          <t>Unknown (verify partner)</t>
        </is>
      </c>
      <c r="O38" s="7" t="inlineStr">
        <is>
          <t>Unknown</t>
        </is>
      </c>
      <c r="P38" s="8" t="inlineStr">
        <is>
          <t>Cold; open inbound. No named node.</t>
        </is>
      </c>
      <c r="Q38" s="9" t="n">
        <v>3</v>
      </c>
      <c r="R38" s="9" t="n">
        <v>5</v>
      </c>
      <c r="S38" s="9" t="n">
        <v>5</v>
      </c>
      <c r="T38" s="9" t="n">
        <v>1</v>
      </c>
      <c r="U38" s="9" t="n">
        <v>1</v>
      </c>
      <c r="V38" s="9" t="n">
        <v>3</v>
      </c>
      <c r="W38" s="10">
        <f>MAX(0,ROUND(Q38/5*Weights!$B$3+R38/5*Weights!$B$4+S38/5*Weights!$B$5+T38/5*Weights!$B$6+U38/5*Weights!$B$7+V38/5*Weights!$B$8-L38*Weights!$B$9,0))</f>
        <v>68</v>
      </c>
      <c r="X38" s="10" t="str">
        <f>IF(W38&gt;=Weights!$B$12,"A",IF(W38&gt;=Weights!$B$13,"B","C"))</f>
        <v>B</v>
      </c>
      <c r="Y38" s="11" t="inlineStr">
        <is>
          <t>Not contacted</t>
        </is>
      </c>
      <c r="Z38" s="7" t="inlineStr">
        <is>
          <t>Nate</t>
        </is>
      </c>
      <c r="AA38" s="8" t="inlineStr">
        <is>
          <t>On-message (vertical AI + dev-infra + clinical workflow); small lead check. Sourced via Jennacap.ai.</t>
        </is>
      </c>
      <c r="AB38" s="7" t="inlineStr">
        <is>
          <t>2026-10-05</t>
        </is>
      </c>
      <c r="AC38" s="8" t="inlineStr">
        <is>
          <t>https://1984.vc/; https://www.vcsheet.com/fund/1984-ventures</t>
        </is>
      </c>
      <c r="AD38" s="8" t="inlineStr">
        <is>
          <t>Sourced via Jennacap.ai. Door B+C. Partner name + recent deal unverified this pass. Email pattern Unknown.</t>
        </is>
      </c>
    </row>
    <row r="39">
      <c r="A39" s="7" t="inlineStr">
        <is>
          <t>Starbloom Capital</t>
        </is>
      </c>
      <c r="B39" s="7" t="inlineStr">
        <is>
          <t>Early-stage deep-tech fund (longevity bio, neuroAI)</t>
        </is>
      </c>
      <c r="C39" s="7" t="inlineStr">
        <is>
          <t>New York, NY / SF</t>
        </is>
      </c>
      <c r="D39" s="8" t="inlineStr">
        <is>
          <t>Undisclosed</t>
        </is>
      </c>
      <c r="E39" s="8" t="inlineStr">
        <is>
          <t>Seed and Series A; leads</t>
        </is>
      </c>
      <c r="F39" s="7" t="inlineStr">
        <is>
          <t>$250K to $5M</t>
        </is>
      </c>
      <c r="G39" s="7" t="inlineStr">
        <is>
          <t>Yes</t>
        </is>
      </c>
      <c r="H39" s="7" t="inlineStr">
        <is>
          <t>No</t>
        </is>
      </c>
      <c r="I39" s="8" t="inlineStr">
        <is>
          <t>Longevity biotech + neuro; Adaptyx Biosciences $14M seed (Oct 2025), Inventex (Apr 2025).</t>
        </is>
      </c>
      <c r="J39" s="8" t="inlineStr">
        <is>
          <t>NeuroAI + AI thesis.</t>
        </is>
      </c>
      <c r="K39" s="8" t="inlineStr">
        <is>
          <t>None competing directly with Foresight/iViz identified.</t>
        </is>
      </c>
      <c r="L39" s="9" t="n">
        <v>0</v>
      </c>
      <c r="M39" s="8" t="inlineStr">
        <is>
          <t>Unknown</t>
        </is>
      </c>
      <c r="N39" s="7" t="inlineStr">
        <is>
          <t>James Fickel</t>
        </is>
      </c>
      <c r="O39" s="7" t="inlineStr">
        <is>
          <t>Founder &amp; Managing Director</t>
        </is>
      </c>
      <c r="P39" s="8" t="inlineStr">
        <is>
          <t>Cold; open inbound. No named node.</t>
        </is>
      </c>
      <c r="Q39" s="9" t="n">
        <v>3</v>
      </c>
      <c r="R39" s="9" t="n">
        <v>4</v>
      </c>
      <c r="S39" s="9" t="n">
        <v>4</v>
      </c>
      <c r="T39" s="9" t="n">
        <v>3</v>
      </c>
      <c r="U39" s="9" t="n">
        <v>1</v>
      </c>
      <c r="V39" s="9" t="n">
        <v>4</v>
      </c>
      <c r="W39" s="10">
        <f>MAX(0,ROUND(Q39/5*Weights!$B$3+R39/5*Weights!$B$4+S39/5*Weights!$B$5+T39/5*Weights!$B$6+U39/5*Weights!$B$7+V39/5*Weights!$B$8-L39*Weights!$B$9,0))</f>
        <v>66</v>
      </c>
      <c r="X39" s="10" t="str">
        <f>IF(W39&gt;=Weights!$B$12,"A",IF(W39&gt;=Weights!$B$13,"B","C"))</f>
        <v>B</v>
      </c>
      <c r="Y39" s="11" t="inlineStr">
        <is>
          <t>Not contacted</t>
        </is>
      </c>
      <c r="Z39" s="7" t="inlineStr">
        <is>
          <t>Nate</t>
        </is>
      </c>
      <c r="AA39" s="8" t="inlineStr">
        <is>
          <t>Thesis-adjacent (longevity/neuroAI); possible seed participant/co-lead. Sourced via Jennacap.ai.</t>
        </is>
      </c>
      <c r="AB39" s="7" t="inlineStr">
        <is>
          <t>2026-10-05</t>
        </is>
      </c>
      <c r="AC39" s="8" t="inlineStr">
        <is>
          <t>https://www.starbloom.capital/; https://superscout.co/investor/starbloom-capital</t>
        </is>
      </c>
      <c r="AD39" s="8" t="inlineStr">
        <is>
          <t>Sourced via Jennacap.ai. Door A/B. james@starbloom.capital inferred (ZoomInfo j***). Fund size undisclosed.</t>
        </is>
      </c>
    </row>
    <row r="40">
      <c r="A40" s="7" t="inlineStr">
        <is>
          <t>Qiming Venture Partners USA</t>
        </is>
      </c>
      <c r="B40" s="7" t="inlineStr">
        <is>
          <t>Healthcare VC (US arm)</t>
        </is>
      </c>
      <c r="C40" s="7" t="inlineStr">
        <is>
          <t>Cambridge, MA / Palo Alto</t>
        </is>
      </c>
      <c r="D40" s="8" t="inlineStr">
        <is>
          <t>US Healthcare Fund III, $260M (2022)</t>
        </is>
      </c>
      <c r="E40" s="8" t="inlineStr">
        <is>
          <t>Seed to Series B; selective at seed</t>
        </is>
      </c>
      <c r="F40" s="7" t="inlineStr">
        <is>
          <t>Unknown</t>
        </is>
      </c>
      <c r="G40" s="7" t="inlineStr">
        <is>
          <t>Selective</t>
        </is>
      </c>
      <c r="H40" s="7" t="inlineStr">
        <is>
          <t>No</t>
        </is>
      </c>
      <c r="I40" s="8" t="inlineStr">
        <is>
          <t>Healthcare fund, therapeutics-weighted; 'healthcare technology' mandate in Fund III.</t>
        </is>
      </c>
      <c r="J40" s="8" t="inlineStr">
        <is>
          <t>Limited AI-software evidence.</t>
        </is>
      </c>
      <c r="K40" s="8" t="inlineStr">
        <is>
          <t>None competing directly with Foresight/iViz identified.</t>
        </is>
      </c>
      <c r="L40" s="9" t="n">
        <v>0</v>
      </c>
      <c r="M40" s="8" t="inlineStr">
        <is>
          <t>Unknown</t>
        </is>
      </c>
      <c r="N40" s="7" t="inlineStr">
        <is>
          <t>Isaac Ciechanover, MD</t>
        </is>
      </c>
      <c r="O40" s="7" t="inlineStr">
        <is>
          <t>US Partner</t>
        </is>
      </c>
      <c r="P40" s="8" t="inlineStr">
        <is>
          <t>Cold; open inbound. No named node.</t>
        </is>
      </c>
      <c r="Q40" s="9" t="n">
        <v>4</v>
      </c>
      <c r="R40" s="9" t="n">
        <v>2</v>
      </c>
      <c r="S40" s="9" t="n">
        <v>3</v>
      </c>
      <c r="T40" s="9" t="n">
        <v>0</v>
      </c>
      <c r="U40" s="9" t="n">
        <v>1</v>
      </c>
      <c r="V40" s="9" t="n">
        <v>3</v>
      </c>
      <c r="W40" s="10">
        <f>MAX(0,ROUND(Q40/5*Weights!$B$3+R40/5*Weights!$B$4+S40/5*Weights!$B$5+T40/5*Weights!$B$6+U40/5*Weights!$B$7+V40/5*Weights!$B$8-L40*Weights!$B$9,0))</f>
        <v>52</v>
      </c>
      <c r="X40" s="10" t="str">
        <f>IF(W40&gt;=Weights!$B$12,"A",IF(W40&gt;=Weights!$B$13,"B","C"))</f>
        <v>B</v>
      </c>
      <c r="Y40" s="11" t="inlineStr">
        <is>
          <t>Not contacted</t>
        </is>
      </c>
      <c r="Z40" s="7" t="inlineStr">
        <is>
          <t>Nate</t>
        </is>
      </c>
      <c r="AA40" s="8" t="inlineStr">
        <is>
          <t>Therapeutics-leaning; needs the healthtech-tools angle. Team flux. Sourced via Jennacap.ai.</t>
        </is>
      </c>
      <c r="AB40" s="7" t="inlineStr">
        <is>
          <t>2026-10-05</t>
        </is>
      </c>
      <c r="AC40" s="8" t="inlineStr">
        <is>
          <t>https://www.businesswire.com/news/home/20220602005291/en/; https://www.qimingvc.com/en/team/nisa-leung</t>
        </is>
      </c>
      <c r="AD40" s="8" t="inlineStr">
        <is>
          <t>Sourced via Jennacap.ai. Door A (partial). Email pattern Unknown. Nisa Leung (China head) departed Feb 2025.</t>
        </is>
      </c>
    </row>
    <row r="41">
      <c r="A41" s="7" t="inlineStr">
        <is>
          <t>Amasia</t>
        </is>
      </c>
      <c r="B41" s="7" t="inlineStr">
        <is>
          <t>Early-stage software VC (climate/sustainability tilt)</t>
        </is>
      </c>
      <c r="C41" s="7" t="inlineStr">
        <is>
          <t>San Francisco / Singapore</t>
        </is>
      </c>
      <c r="D41" s="8" t="inlineStr">
        <is>
          <t>Fund III (size unconfirmed)</t>
        </is>
      </c>
      <c r="E41" s="8" t="inlineStr">
        <is>
          <t>Seed to Series B; leads/co-leads</t>
        </is>
      </c>
      <c r="F41" s="7" t="inlineStr">
        <is>
          <t>$1M to $5M</t>
        </is>
      </c>
      <c r="G41" s="7" t="inlineStr">
        <is>
          <t>Yes</t>
        </is>
      </c>
      <c r="H41" s="7" t="inlineStr">
        <is>
          <t>No</t>
        </is>
      </c>
      <c r="I41" s="8" t="inlineStr">
        <is>
          <t>Software-only; no drug-dev/life-science core.</t>
        </is>
      </c>
      <c r="J41" s="8" t="inlineStr">
        <is>
          <t>Software VC; some AI (EvolutionIQ). Thesis skews climate/sustainability/behavior-change.</t>
        </is>
      </c>
      <c r="K41" s="8" t="inlineStr">
        <is>
          <t>None competing directly with Foresight/iViz identified.</t>
        </is>
      </c>
      <c r="L41" s="9" t="n">
        <v>0</v>
      </c>
      <c r="M41" s="8" t="inlineStr">
        <is>
          <t>Unknown</t>
        </is>
      </c>
      <c r="N41" s="7" t="inlineStr">
        <is>
          <t>Ramanan Raghavendran</t>
        </is>
      </c>
      <c r="O41" s="7" t="inlineStr">
        <is>
          <t>Managing Partner</t>
        </is>
      </c>
      <c r="P41" s="8" t="inlineStr">
        <is>
          <t>Cold; open inbound. No named node.</t>
        </is>
      </c>
      <c r="Q41" s="9" t="n">
        <v>1</v>
      </c>
      <c r="R41" s="9" t="n">
        <v>3</v>
      </c>
      <c r="S41" s="9" t="n">
        <v>4</v>
      </c>
      <c r="T41" s="9" t="n">
        <v>3</v>
      </c>
      <c r="U41" s="9" t="n">
        <v>1</v>
      </c>
      <c r="V41" s="9" t="n">
        <v>4</v>
      </c>
      <c r="W41" s="10">
        <f>MAX(0,ROUND(Q41/5*Weights!$B$3+R41/5*Weights!$B$4+S41/5*Weights!$B$5+T41/5*Weights!$B$6+U41/5*Weights!$B$7+V41/5*Weights!$B$8-L41*Weights!$B$9,0))</f>
        <v>50</v>
      </c>
      <c r="X41" s="10" t="str">
        <f>IF(W41&gt;=Weights!$B$12,"A",IF(W41&gt;=Weights!$B$13,"B","C"))</f>
        <v>B</v>
      </c>
      <c r="Y41" s="11" t="inlineStr">
        <is>
          <t>Not contacted</t>
        </is>
      </c>
      <c r="Z41" s="7" t="inlineStr">
        <is>
          <t>Nate</t>
        </is>
      </c>
      <c r="AA41" s="8" t="inlineStr">
        <is>
          <t>Mechanical software-seed fit but thematic miss (sustainability). Sourced via Jennacap.ai.</t>
        </is>
      </c>
      <c r="AB41" s="7" t="inlineStr">
        <is>
          <t>2026-10-05</t>
        </is>
      </c>
      <c r="AC41" s="8" t="inlineStr">
        <is>
          <t>https://www.amasia.vc/team; https://www.vcsheet.com/fund/amasia</t>
        </is>
      </c>
      <c r="AD41" s="8" t="inlineStr">
        <is>
          <t>Sourced via Jennacap.ai. Door B (weak). first@amasia.vc inferred. Fund III size unconfirmed.</t>
        </is>
      </c>
    </row>
    <row r="42">
      <c r="A42" s="7" t="inlineStr">
        <is>
          <t>Zone 2 Ventures</t>
        </is>
      </c>
      <c r="B42" s="7" t="inlineStr">
        <is>
          <t>Pre-seed/seed generalist (AI, healthcare, fintech)</t>
        </is>
      </c>
      <c r="C42" s="7" t="inlineStr">
        <is>
          <t>London (US/Delaware fund)</t>
        </is>
      </c>
      <c r="D42" s="8" t="inlineStr">
        <is>
          <t>Fund I opened Dec 2024 (~7 cos)</t>
        </is>
      </c>
      <c r="E42" s="8" t="inlineStr">
        <is>
          <t>Pre-seed/seed; likely co-invests</t>
        </is>
      </c>
      <c r="F42" s="7" t="inlineStr">
        <is>
          <t>Unknown</t>
        </is>
      </c>
      <c r="G42" s="7" t="inlineStr">
        <is>
          <t>Participant</t>
        </is>
      </c>
      <c r="H42" s="7" t="inlineStr">
        <is>
          <t>No</t>
        </is>
      </c>
      <c r="I42" s="8" t="inlineStr">
        <is>
          <t>AI + healthcare in mandate; portfolio too early to cite a drug-dev holding.</t>
        </is>
      </c>
      <c r="J42" s="8" t="inlineStr">
        <is>
          <t>AI in mandate; new fund.</t>
        </is>
      </c>
      <c r="K42" s="8" t="inlineStr">
        <is>
          <t>None competing directly with Foresight/iViz identified.</t>
        </is>
      </c>
      <c r="L42" s="9" t="n">
        <v>0</v>
      </c>
      <c r="M42" s="8" t="inlineStr">
        <is>
          <t>Unknown</t>
        </is>
      </c>
      <c r="N42" s="7" t="inlineStr">
        <is>
          <t>Ricardo Schaefer</t>
        </is>
      </c>
      <c r="O42" s="7" t="inlineStr">
        <is>
          <t>Founder</t>
        </is>
      </c>
      <c r="P42" s="8" t="inlineStr">
        <is>
          <t>Cold; open inbound. No named node.</t>
        </is>
      </c>
      <c r="Q42" s="9" t="n">
        <v>2</v>
      </c>
      <c r="R42" s="9" t="n">
        <v>4</v>
      </c>
      <c r="S42" s="9" t="n">
        <v>3</v>
      </c>
      <c r="T42" s="9" t="n">
        <v>0</v>
      </c>
      <c r="U42" s="9" t="n">
        <v>1</v>
      </c>
      <c r="V42" s="9" t="n">
        <v>3</v>
      </c>
      <c r="W42" s="10">
        <f>MAX(0,ROUND(Q42/5*Weights!$B$3+R42/5*Weights!$B$4+S42/5*Weights!$B$5+T42/5*Weights!$B$6+U42/5*Weights!$B$7+V42/5*Weights!$B$8-L42*Weights!$B$9,0))</f>
        <v>48</v>
      </c>
      <c r="X42" s="10" t="str">
        <f>IF(W42&gt;=Weights!$B$12,"A",IF(W42&gt;=Weights!$B$13,"B","C"))</f>
        <v>C</v>
      </c>
      <c r="Y42" s="11" t="inlineStr">
        <is>
          <t>Not contacted</t>
        </is>
      </c>
      <c r="Z42" s="7" t="inlineStr">
        <is>
          <t>Nate</t>
        </is>
      </c>
      <c r="AA42" s="8" t="inlineStr">
        <is>
          <t>Small/new fund; seed participant not lead. Sourced via Jennacap.ai.</t>
        </is>
      </c>
      <c r="AB42" s="7" t="inlineStr">
        <is>
          <t>2026-10-05</t>
        </is>
      </c>
      <c r="AC42" s="8" t="inlineStr">
        <is>
          <t>https://pitchbook.com/profiles/fund/29431-09F; https://app.dealroom.co/companies/zone_ii_ventures</t>
        </is>
      </c>
      <c r="AD42" s="8" t="inlineStr">
        <is>
          <t>Sourced via Jennacap.ai. Door B (loose). Email Unknown. Fund I opened Dec 2024.</t>
        </is>
      </c>
    </row>
    <row r="43">
      <c r="A43" s="7" t="inlineStr">
        <is>
          <t>Lilly Ventures</t>
        </is>
      </c>
      <c r="B43" s="7" t="inlineStr">
        <is>
          <t>Pharma corporate venture arm</t>
        </is>
      </c>
      <c r="C43" s="7" t="inlineStr">
        <is>
          <t>Indianapolis, IN</t>
        </is>
      </c>
      <c r="D43" s="8" t="inlineStr">
        <is>
          <t>~$200M CVC</t>
        </is>
      </c>
      <c r="E43" s="8" t="inlineStr">
        <is>
          <t>Early-to-expansion; leads</t>
        </is>
      </c>
      <c r="F43" s="7" t="inlineStr">
        <is>
          <t>Unknown</t>
        </is>
      </c>
      <c r="G43" s="7" t="inlineStr">
        <is>
          <t>Selective (CVC)</t>
        </is>
      </c>
      <c r="H43" s="7" t="inlineStr">
        <is>
          <t>No</t>
        </is>
      </c>
      <c r="I43" s="8" t="inlineStr">
        <is>
          <t>Therapeutically agnostic CVC; biotech, healthcare IT, medtech.</t>
        </is>
      </c>
      <c r="J43" s="8" t="inlineStr">
        <is>
          <t>Insilico Medicine (AI drug discovery, Jun 2025), basys.ai; Lilly's $500M a16z AI-biotech fund (Jan 2025).</t>
        </is>
      </c>
      <c r="K43" s="8" t="inlineStr">
        <is>
          <t>None competing directly; note Lilly builds internal drug-dev tooling (strategic sensitivity).</t>
        </is>
      </c>
      <c r="L43" s="9" t="n">
        <v>0</v>
      </c>
      <c r="M43" s="8" t="inlineStr">
        <is>
          <t>Unknown</t>
        </is>
      </c>
      <c r="N43" s="7" t="inlineStr">
        <is>
          <t>Unknown (verify partner)</t>
        </is>
      </c>
      <c r="O43" s="7" t="inlineStr">
        <is>
          <t>Unknown</t>
        </is>
      </c>
      <c r="P43" s="8" t="inlineStr">
        <is>
          <t>Cold; strategic. No named node.</t>
        </is>
      </c>
      <c r="Q43" s="9" t="n">
        <v>5</v>
      </c>
      <c r="R43" s="9" t="n">
        <v>4</v>
      </c>
      <c r="S43" s="9" t="n">
        <v>2</v>
      </c>
      <c r="T43" s="9" t="n">
        <v>0</v>
      </c>
      <c r="U43" s="9" t="n">
        <v>1</v>
      </c>
      <c r="V43" s="9" t="n">
        <v>4</v>
      </c>
      <c r="W43" s="10">
        <f>MAX(0,ROUND(Q43/5*Weights!$B$3+R43/5*Weights!$B$4+S43/5*Weights!$B$5+T43/5*Weights!$B$6+U43/5*Weights!$B$7+V43/5*Weights!$B$8-L43*Weights!$B$9,0))</f>
        <v>64</v>
      </c>
      <c r="X43" s="10" t="str">
        <f>IF(W43&gt;=Weights!$B$12,"A",IF(W43&gt;=Weights!$B$13,"B","C"))</f>
        <v>B</v>
      </c>
      <c r="Y43" s="11" t="inlineStr">
        <is>
          <t>Not contacted</t>
        </is>
      </c>
      <c r="Z43" s="7" t="inlineStr">
        <is>
          <t>Nate</t>
        </is>
      </c>
      <c r="AA43" s="8" t="inlineStr">
        <is>
          <t>Strategic CVC + potential customer; not a classic $6M seed lead. Sourced via Jennacap.ai.</t>
        </is>
      </c>
      <c r="AB43" s="7" t="inlineStr">
        <is>
          <t>2026-10-05</t>
        </is>
      </c>
      <c r="AC43" s="8" t="inlineStr">
        <is>
          <t>https://www.cbinsights.com/investor/lilly-ventures; https://www.crunchbase.com/organization/lilly-ventures</t>
        </is>
      </c>
      <c r="AD43" s="8" t="inlineStr">
        <is>
          <t>Sourced via Jennacap.ai. 'Lilly Research Laboratories' is Lilly R&amp;D, NOT an investor; the venture arm is Lilly Ventures. Door A/C strategic. CVC terms can constrain future strategic buyers.</t>
        </is>
      </c>
    </row>
    <row r="44">
      <c r="A44" s="7" t="inlineStr">
        <is>
          <t>Mubadala Capital</t>
        </is>
      </c>
      <c r="B44" s="7" t="inlineStr">
        <is>
          <t>Sovereign-backed VC/asset manager</t>
        </is>
      </c>
      <c r="C44" s="7" t="inlineStr">
        <is>
          <t>Abu Dhabi / SF / London</t>
        </is>
      </c>
      <c r="D44" s="8" t="inlineStr">
        <is>
          <t>~$400M ventures fund</t>
        </is>
      </c>
      <c r="E44" s="8" t="inlineStr">
        <is>
          <t>Primarily Series B+; selective seed</t>
        </is>
      </c>
      <c r="F44" s="7" t="inlineStr">
        <is>
          <t>$10M to $50M</t>
        </is>
      </c>
      <c r="G44" s="7" t="inlineStr">
        <is>
          <t>No/Selective</t>
        </is>
      </c>
      <c r="H44" s="7" t="inlineStr">
        <is>
          <t>No</t>
        </is>
      </c>
      <c r="I44" s="8" t="inlineStr">
        <is>
          <t>Digital health among sectors; not core.</t>
        </is>
      </c>
      <c r="J44" s="8" t="inlineStr">
        <is>
          <t>Enterprise software / AI / fintech.</t>
        </is>
      </c>
      <c r="K44" s="8" t="inlineStr">
        <is>
          <t>None competing directly with Foresight/iViz identified.</t>
        </is>
      </c>
      <c r="L44" s="9" t="n">
        <v>0</v>
      </c>
      <c r="M44" s="8" t="inlineStr">
        <is>
          <t>Unknown</t>
        </is>
      </c>
      <c r="N44" s="7" t="inlineStr">
        <is>
          <t>Unknown (verify partner)</t>
        </is>
      </c>
      <c r="O44" s="7" t="inlineStr">
        <is>
          <t>Unknown</t>
        </is>
      </c>
      <c r="P44" s="8" t="inlineStr">
        <is>
          <t>Cold; no named node.</t>
        </is>
      </c>
      <c r="Q44" s="9" t="n">
        <v>2</v>
      </c>
      <c r="R44" s="9" t="n">
        <v>3</v>
      </c>
      <c r="S44" s="9" t="n">
        <v>1</v>
      </c>
      <c r="T44" s="9" t="n">
        <v>1</v>
      </c>
      <c r="U44" s="9" t="n">
        <v>1</v>
      </c>
      <c r="V44" s="9" t="n">
        <v>4</v>
      </c>
      <c r="W44" s="10">
        <f>MAX(0,ROUND(Q44/5*Weights!$B$3+R44/5*Weights!$B$4+S44/5*Weights!$B$5+T44/5*Weights!$B$6+U44/5*Weights!$B$7+V44/5*Weights!$B$8-L44*Weights!$B$9,0))</f>
        <v>40</v>
      </c>
      <c r="X44" s="10" t="str">
        <f>IF(W44&gt;=Weights!$B$12,"A",IF(W44&gt;=Weights!$B$13,"B","C"))</f>
        <v>C</v>
      </c>
      <c r="Y44" s="11" t="inlineStr">
        <is>
          <t>Not contacted</t>
        </is>
      </c>
      <c r="Z44" s="7" t="inlineStr">
        <is>
          <t>Nate</t>
        </is>
      </c>
      <c r="AA44" s="8" t="inlineStr">
        <is>
          <t>Stage/check far too large for a $6M seed; revisit at Series A/B. Sourced via Jennacap.ai.</t>
        </is>
      </c>
      <c r="AB44" s="7" t="inlineStr">
        <is>
          <t>2026-10-05</t>
        </is>
      </c>
      <c r="AC44" s="8" t="inlineStr">
        <is>
          <t>https://www.mubadalacapital.ae/ventures; https://www.vcsheet.com/fund/mubadala</t>
        </is>
      </c>
      <c r="AD44" s="8" t="inlineStr">
        <is>
          <t>Sourced via Jennacap.ai. Door C in theory but $10-50M checks. Sovereign-LP sensitivities for some US customers.</t>
        </is>
      </c>
    </row>
    <row r="45">
      <c r="A45" s="7" t="inlineStr">
        <is>
          <t>Neovate Capital Partners</t>
        </is>
      </c>
      <c r="B45" s="7" t="inlineStr">
        <is>
          <t>Medtech &amp; biopharma VC</t>
        </is>
      </c>
      <c r="C45" s="7" t="inlineStr">
        <is>
          <t>Pittsburgh / Denver / New Haven</t>
        </is>
      </c>
      <c r="D45" s="8" t="inlineStr">
        <is>
          <t>Undisclosed</t>
        </is>
      </c>
      <c r="E45" s="8" t="inlineStr">
        <is>
          <t>Early-stage medical devices &amp; therapeutics</t>
        </is>
      </c>
      <c r="F45" s="7" t="inlineStr">
        <is>
          <t>Unknown</t>
        </is>
      </c>
      <c r="G45" s="7" t="inlineStr">
        <is>
          <t>No (devices/therapeutics)</t>
        </is>
      </c>
      <c r="H45" s="7" t="inlineStr">
        <is>
          <t>No</t>
        </is>
      </c>
      <c r="I45" s="8" t="inlineStr">
        <is>
          <t>Neuromodulation, tissue regeneration, robotic/AI-enabled interventional devices. No software holdings.</t>
        </is>
      </c>
      <c r="J45" s="8" t="inlineStr">
        <is>
          <t>AI-enabled devices only; not a software/data investor.</t>
        </is>
      </c>
      <c r="K45" s="8" t="inlineStr">
        <is>
          <t>None identified.</t>
        </is>
      </c>
      <c r="L45" s="9" t="n">
        <v>0</v>
      </c>
      <c r="M45" s="8" t="inlineStr">
        <is>
          <t>Unknown</t>
        </is>
      </c>
      <c r="N45" s="7" t="inlineStr">
        <is>
          <t>Nicholas Pachuda (or Mike Green)</t>
        </is>
      </c>
      <c r="O45" s="7" t="inlineStr">
        <is>
          <t>General Partner</t>
        </is>
      </c>
      <c r="P45" s="8" t="inlineStr">
        <is>
          <t>Cold; no named node.</t>
        </is>
      </c>
      <c r="Q45" s="9" t="n">
        <v>2</v>
      </c>
      <c r="R45" s="9" t="n">
        <v>1</v>
      </c>
      <c r="S45" s="9" t="n">
        <v>2</v>
      </c>
      <c r="T45" s="9" t="n">
        <v>0</v>
      </c>
      <c r="U45" s="9" t="n">
        <v>1</v>
      </c>
      <c r="V45" s="9" t="n">
        <v>3</v>
      </c>
      <c r="W45" s="10">
        <f>MAX(0,ROUND(Q45/5*Weights!$B$3+R45/5*Weights!$B$4+S45/5*Weights!$B$5+T45/5*Weights!$B$6+U45/5*Weights!$B$7+V45/5*Weights!$B$8-L45*Weights!$B$9,0))</f>
        <v>32</v>
      </c>
      <c r="X45" s="10" t="str">
        <f>IF(W45&gt;=Weights!$B$12,"A",IF(W45&gt;=Weights!$B$13,"B","C"))</f>
        <v>C</v>
      </c>
      <c r="Y45" s="11" t="inlineStr">
        <is>
          <t>Not contacted</t>
        </is>
      </c>
      <c r="Z45" s="7" t="inlineStr">
        <is>
          <t>Nate</t>
        </is>
      </c>
      <c r="AA45" s="8" t="inlineStr">
        <is>
          <t>Off-thesis: devices/therapeutics, not software. Sourced via Jennacap.ai (screened out).</t>
        </is>
      </c>
      <c r="AB45" s="7" t="inlineStr">
        <is>
          <t>2026-10-05</t>
        </is>
      </c>
      <c r="AC45" s="8" t="inlineStr">
        <is>
          <t>https://app.dealroom.co/companies/neovate_capital_partners; https://mnvc.org/speakers/neovate-capital-dr-nicholas-pachuda-general-partner/</t>
        </is>
      </c>
      <c r="AD45" s="8" t="inlineStr">
        <is>
          <t>Sourced via Jennacap.ai. POOR FIT. Email Unknown.</t>
        </is>
      </c>
    </row>
    <row r="46">
      <c r="A46" s="7" t="inlineStr">
        <is>
          <t>Epidarex Capital</t>
        </is>
      </c>
      <c r="B46" s="7" t="inlineStr">
        <is>
          <t>Therapeutics life-science VC</t>
        </is>
      </c>
      <c r="C46" s="7" t="inlineStr">
        <is>
          <t>Edinburgh / US</t>
        </is>
      </c>
      <c r="D46" s="8" t="inlineStr">
        <is>
          <t>Fund IV first close $145M (Jan 2026)</t>
        </is>
      </c>
      <c r="E46" s="8" t="inlineStr">
        <is>
          <t>Early-stage; leads Series A therapeutics</t>
        </is>
      </c>
      <c r="F46" s="7" t="inlineStr">
        <is>
          <t>Unknown</t>
        </is>
      </c>
      <c r="G46" s="7" t="inlineStr">
        <is>
          <t>No (therapeutics)</t>
        </is>
      </c>
      <c r="H46" s="7" t="inlineStr">
        <is>
          <t>No</t>
        </is>
      </c>
      <c r="I46" s="8" t="inlineStr">
        <is>
          <t>Apellis, Nodthera, Kynos, Lunac (drug developers). No data/software holdings.</t>
        </is>
      </c>
      <c r="J46" s="8" t="inlineStr">
        <is>
          <t>None; therapeutics investor.</t>
        </is>
      </c>
      <c r="K46" s="8" t="inlineStr">
        <is>
          <t>None identified.</t>
        </is>
      </c>
      <c r="L46" s="9" t="n">
        <v>0</v>
      </c>
      <c r="M46" s="8" t="inlineStr">
        <is>
          <t>Unknown</t>
        </is>
      </c>
      <c r="N46" s="7" t="inlineStr">
        <is>
          <t>Unknown</t>
        </is>
      </c>
      <c r="O46" s="7" t="inlineStr">
        <is>
          <t>Unknown</t>
        </is>
      </c>
      <c r="P46" s="8" t="inlineStr">
        <is>
          <t>Cold; no named node.</t>
        </is>
      </c>
      <c r="Q46" s="9" t="n">
        <v>2</v>
      </c>
      <c r="R46" s="9" t="n">
        <v>1</v>
      </c>
      <c r="S46" s="9" t="n">
        <v>2</v>
      </c>
      <c r="T46" s="9" t="n">
        <v>0</v>
      </c>
      <c r="U46" s="9" t="n">
        <v>1</v>
      </c>
      <c r="V46" s="9" t="n">
        <v>5</v>
      </c>
      <c r="W46" s="10">
        <f>MAX(0,ROUND(Q46/5*Weights!$B$3+R46/5*Weights!$B$4+S46/5*Weights!$B$5+T46/5*Weights!$B$6+U46/5*Weights!$B$7+V46/5*Weights!$B$8-L46*Weights!$B$9,0))</f>
        <v>36</v>
      </c>
      <c r="X46" s="10" t="str">
        <f>IF(W46&gt;=Weights!$B$12,"A",IF(W46&gt;=Weights!$B$13,"B","C"))</f>
        <v>C</v>
      </c>
      <c r="Y46" s="11" t="inlineStr">
        <is>
          <t>Not contacted</t>
        </is>
      </c>
      <c r="Z46" s="7" t="inlineStr">
        <is>
          <t>Nate</t>
        </is>
      </c>
      <c r="AA46" s="8" t="inlineStr">
        <is>
          <t>Off-thesis therapeutics VC. Sourced via Jennacap.ai (screened out).</t>
        </is>
      </c>
      <c r="AB46" s="7" t="inlineStr">
        <is>
          <t>2026-10-05</t>
        </is>
      </c>
      <c r="AC46" s="8" t="inlineStr">
        <is>
          <t>https://www.globenewswire.com/news-release/2026/01/27/3226083/0/en/epidarex-capital-announces-first-close-of-fund-iv-securing-145-million.html</t>
        </is>
      </c>
      <c r="AD46" s="8" t="inlineStr">
        <is>
          <t>Sourced via Jennacap.ai. POOR FIT. Fresh Fund IV but drug developers only.</t>
        </is>
      </c>
    </row>
    <row r="47">
      <c r="A47" s="7" t="inlineStr">
        <is>
          <t>Duke Capital Partners</t>
        </is>
      </c>
      <c r="B47" s="7" t="inlineStr">
        <is>
          <t>University venture arm</t>
        </is>
      </c>
      <c r="C47" s="7" t="inlineStr">
        <is>
          <t>Durham, NC</t>
        </is>
      </c>
      <c r="D47" s="8" t="inlineStr">
        <is>
          <t>Duke Innovation Fund (angel platform)</t>
        </is>
      </c>
      <c r="E47" s="8" t="inlineStr">
        <is>
          <t>Early-stage; Duke-affiliated startups only</t>
        </is>
      </c>
      <c r="F47" s="7" t="inlineStr">
        <is>
          <t>$500K to $2M</t>
        </is>
      </c>
      <c r="G47" s="7" t="inlineStr">
        <is>
          <t>Gated</t>
        </is>
      </c>
      <c r="H47" s="7" t="inlineStr">
        <is>
          <t>No</t>
        </is>
      </c>
      <c r="I47" s="8" t="inlineStr">
        <is>
          <t>60+ Duke-network companies; no stated AI/life-science infra thesis.</t>
        </is>
      </c>
      <c r="J47" s="8" t="inlineStr">
        <is>
          <t>None stated.</t>
        </is>
      </c>
      <c r="K47" s="8" t="inlineStr">
        <is>
          <t>None identified.</t>
        </is>
      </c>
      <c r="L47" s="9" t="n">
        <v>0</v>
      </c>
      <c r="M47" s="8" t="inlineStr">
        <is>
          <t>Unknown</t>
        </is>
      </c>
      <c r="N47" s="7" t="inlineStr">
        <is>
          <t>Unknown</t>
        </is>
      </c>
      <c r="O47" s="7" t="inlineStr">
        <is>
          <t>Unknown</t>
        </is>
      </c>
      <c r="P47" s="8" t="inlineStr">
        <is>
          <t>Cold; no named node.</t>
        </is>
      </c>
      <c r="Q47" s="9" t="n">
        <v>2</v>
      </c>
      <c r="R47" s="9" t="n">
        <v>1</v>
      </c>
      <c r="S47" s="9" t="n">
        <v>2</v>
      </c>
      <c r="T47" s="9" t="n">
        <v>1</v>
      </c>
      <c r="U47" s="9" t="n">
        <v>1</v>
      </c>
      <c r="V47" s="9" t="n">
        <v>3</v>
      </c>
      <c r="W47" s="10">
        <f>MAX(0,ROUND(Q47/5*Weights!$B$3+R47/5*Weights!$B$4+S47/5*Weights!$B$5+T47/5*Weights!$B$6+U47/5*Weights!$B$7+V47/5*Weights!$B$8-L47*Weights!$B$9,0))</f>
        <v>34</v>
      </c>
      <c r="X47" s="10" t="str">
        <f>IF(W47&gt;=Weights!$B$12,"A",IF(W47&gt;=Weights!$B$13,"B","C"))</f>
        <v>C</v>
      </c>
      <c r="Y47" s="11" t="inlineStr">
        <is>
          <t>Not contacted</t>
        </is>
      </c>
      <c r="Z47" s="7" t="inlineStr">
        <is>
          <t>Nate</t>
        </is>
      </c>
      <c r="AA47" s="8" t="inlineStr">
        <is>
          <t>Gated to Duke affiliation; only if Coharts has a Duke tie. Sourced via Jennacap.ai.</t>
        </is>
      </c>
      <c r="AB47" s="7" t="inlineStr">
        <is>
          <t>2026-10-05</t>
        </is>
      </c>
      <c r="AC47" s="8" t="inlineStr">
        <is>
          <t>https://dukecapitalpartners.duke.edu/about/; https://massinvestordatabase.com/publicfirm.php?name=Duke+Capital+Partners</t>
        </is>
      </c>
      <c r="AD47" s="8" t="inlineStr">
        <is>
          <t>Sourced via Jennacap.ai. POOR FIT unless Duke-affiliated. $500K-$2M checks.</t>
        </is>
      </c>
    </row>
    <row r="48">
      <c r="A48" s="7" t="inlineStr">
        <is>
          <t>Lifespan Vision Ventures</t>
        </is>
      </c>
      <c r="B48" s="7" t="inlineStr">
        <is>
          <t>Longevity-biotech therapeutics VC</t>
        </is>
      </c>
      <c r="C48" s="7" t="inlineStr">
        <is>
          <t>Norwalk, CT / SF / London</t>
        </is>
      </c>
      <c r="D48" s="8" t="inlineStr">
        <is>
          <t>Undisclosed</t>
        </is>
      </c>
      <c r="E48" s="8" t="inlineStr">
        <is>
          <t>Pre-seed to Series A; co-leads</t>
        </is>
      </c>
      <c r="F48" s="7" t="inlineStr">
        <is>
          <t>Unknown</t>
        </is>
      </c>
      <c r="G48" s="7" t="inlineStr">
        <is>
          <t>No (therapeutics)</t>
        </is>
      </c>
      <c r="H48" s="7" t="inlineStr">
        <is>
          <t>No</t>
        </is>
      </c>
      <c r="I48" s="8" t="inlineStr">
        <is>
          <t>Telomere/senolytics/mRNA/regenerative therapeutics; co-led Sift Bio $3.7M pre-seed.</t>
        </is>
      </c>
      <c r="J48" s="8" t="inlineStr">
        <is>
          <t>None; longevity therapeutics.</t>
        </is>
      </c>
      <c r="K48" s="8" t="inlineStr">
        <is>
          <t>None identified.</t>
        </is>
      </c>
      <c r="L48" s="9" t="n">
        <v>0</v>
      </c>
      <c r="M48" s="8" t="inlineStr">
        <is>
          <t>Unknown</t>
        </is>
      </c>
      <c r="N48" s="7" t="inlineStr">
        <is>
          <t>Andrew Worden</t>
        </is>
      </c>
      <c r="O48" s="7" t="inlineStr">
        <is>
          <t>Founder</t>
        </is>
      </c>
      <c r="P48" s="8" t="inlineStr">
        <is>
          <t>Cold; no named node.</t>
        </is>
      </c>
      <c r="Q48" s="9" t="n">
        <v>2</v>
      </c>
      <c r="R48" s="9" t="n">
        <v>1</v>
      </c>
      <c r="S48" s="9" t="n">
        <v>3</v>
      </c>
      <c r="T48" s="9" t="n">
        <v>0</v>
      </c>
      <c r="U48" s="9" t="n">
        <v>1</v>
      </c>
      <c r="V48" s="9" t="n">
        <v>3</v>
      </c>
      <c r="W48" s="10">
        <f>MAX(0,ROUND(Q48/5*Weights!$B$3+R48/5*Weights!$B$4+S48/5*Weights!$B$5+T48/5*Weights!$B$6+U48/5*Weights!$B$7+V48/5*Weights!$B$8-L48*Weights!$B$9,0))</f>
        <v>36</v>
      </c>
      <c r="X48" s="10" t="str">
        <f>IF(W48&gt;=Weights!$B$12,"A",IF(W48&gt;=Weights!$B$13,"B","C"))</f>
        <v>C</v>
      </c>
      <c r="Y48" s="11" t="inlineStr">
        <is>
          <t>Not contacted</t>
        </is>
      </c>
      <c r="Z48" s="7" t="inlineStr">
        <is>
          <t>Nate</t>
        </is>
      </c>
      <c r="AA48" s="8" t="inlineStr">
        <is>
          <t>Off-thesis longevity therapeutics. Sourced via Jennacap.ai (screened out).</t>
        </is>
      </c>
      <c r="AB48" s="7" t="inlineStr">
        <is>
          <t>2026-10-05</t>
        </is>
      </c>
      <c r="AC48" s="8" t="inlineStr">
        <is>
          <t>https://finance.yahoo.com/news/lifespan-vision-ventures-co-leads-170000649.html</t>
        </is>
      </c>
      <c r="AD48" s="8" t="inlineStr">
        <is>
          <t>Sourced via Jennacap.ai. POOR FIT.</t>
        </is>
      </c>
    </row>
    <row r="49">
      <c r="A49" s="7" t="inlineStr">
        <is>
          <t>Criteria Bio Ventures</t>
        </is>
      </c>
      <c r="B49" s="7" t="inlineStr">
        <is>
          <t>Therapeutics life-science VC</t>
        </is>
      </c>
      <c r="C49" s="7" t="inlineStr">
        <is>
          <t>Barcelona, Spain</t>
        </is>
      </c>
      <c r="D49" s="8" t="inlineStr">
        <is>
          <t>Part of CriteriaCaixa</t>
        </is>
      </c>
      <c r="E49" s="8" t="inlineStr">
        <is>
          <t>Leads biotech rounds (EU/NA)</t>
        </is>
      </c>
      <c r="F49" s="7" t="inlineStr">
        <is>
          <t>Unknown</t>
        </is>
      </c>
      <c r="G49" s="7" t="inlineStr">
        <is>
          <t>No (therapeutics)</t>
        </is>
      </c>
      <c r="H49" s="7" t="inlineStr">
        <is>
          <t>No</t>
        </is>
      </c>
      <c r="I49" s="8" t="inlineStr">
        <is>
          <t>Led Adaptam Therapeutics EUR3M; drug developers only.</t>
        </is>
      </c>
      <c r="J49" s="8" t="inlineStr">
        <is>
          <t>None; therapeutics.</t>
        </is>
      </c>
      <c r="K49" s="8" t="inlineStr">
        <is>
          <t>None identified.</t>
        </is>
      </c>
      <c r="L49" s="9" t="n">
        <v>0</v>
      </c>
      <c r="M49" s="8" t="inlineStr">
        <is>
          <t>Unknown</t>
        </is>
      </c>
      <c r="N49" s="7" t="inlineStr">
        <is>
          <t>Unknown</t>
        </is>
      </c>
      <c r="O49" s="7" t="inlineStr">
        <is>
          <t>Unknown</t>
        </is>
      </c>
      <c r="P49" s="8" t="inlineStr">
        <is>
          <t>Cold; no named node.</t>
        </is>
      </c>
      <c r="Q49" s="9" t="n">
        <v>2</v>
      </c>
      <c r="R49" s="9" t="n">
        <v>1</v>
      </c>
      <c r="S49" s="9" t="n">
        <v>2</v>
      </c>
      <c r="T49" s="9" t="n">
        <v>0</v>
      </c>
      <c r="U49" s="9" t="n">
        <v>1</v>
      </c>
      <c r="V49" s="9" t="n">
        <v>3</v>
      </c>
      <c r="W49" s="10">
        <f>MAX(0,ROUND(Q49/5*Weights!$B$3+R49/5*Weights!$B$4+S49/5*Weights!$B$5+T49/5*Weights!$B$6+U49/5*Weights!$B$7+V49/5*Weights!$B$8-L49*Weights!$B$9,0))</f>
        <v>32</v>
      </c>
      <c r="X49" s="10" t="str">
        <f>IF(W49&gt;=Weights!$B$12,"A",IF(W49&gt;=Weights!$B$13,"B","C"))</f>
        <v>C</v>
      </c>
      <c r="Y49" s="11" t="inlineStr">
        <is>
          <t>Not contacted</t>
        </is>
      </c>
      <c r="Z49" s="7" t="inlineStr">
        <is>
          <t>Nate</t>
        </is>
      </c>
      <c r="AA49" s="8" t="inlineStr">
        <is>
          <t>Off-thesis therapeutics VC, EU-centric. Sourced via Jennacap.ai (screened out).</t>
        </is>
      </c>
      <c r="AB49" s="7" t="inlineStr">
        <is>
          <t>2026-10-05</t>
        </is>
      </c>
      <c r="AC49" s="8" t="inlineStr">
        <is>
          <t>https://www.criteriabioventures.com/; https://capital-riesgo.es/en/articles/criteria-bio-ventures-leads-a-3-million-investment-in-adaptam-therapeutics/</t>
        </is>
      </c>
      <c r="AD49" s="8" t="inlineStr">
        <is>
          <t>Sourced via Jennacap.ai. POOR FIT.</t>
        </is>
      </c>
    </row>
    <row r="50">
      <c r="A50" s="7" t="inlineStr">
        <is>
          <t>NYSERDA</t>
        </is>
      </c>
      <c r="B50" s="7" t="inlineStr">
        <is>
          <t>NY State clean-energy agency (government)</t>
        </is>
      </c>
      <c r="C50" s="7" t="inlineStr">
        <is>
          <t>Albany, NY</t>
        </is>
      </c>
      <c r="D50" s="8" t="inlineStr">
        <is>
          <t>NY Green Bank / Clean Energy Fund</t>
        </is>
      </c>
      <c r="E50" s="8" t="inlineStr">
        <is>
          <t>Grants + co-invest, pre-Series B cleantech</t>
        </is>
      </c>
      <c r="F50" s="7" t="inlineStr">
        <is>
          <t>Unknown</t>
        </is>
      </c>
      <c r="G50" s="7" t="inlineStr">
        <is>
          <t>No (cleantech grants)</t>
        </is>
      </c>
      <c r="H50" s="7" t="inlineStr">
        <is>
          <t>No</t>
        </is>
      </c>
      <c r="I50" s="8" t="inlineStr">
        <is>
          <t>Clean-energy/cleantech only; not healthcare/software.</t>
        </is>
      </c>
      <c r="J50" s="8" t="inlineStr">
        <is>
          <t>None.</t>
        </is>
      </c>
      <c r="K50" s="8" t="inlineStr">
        <is>
          <t>None identified.</t>
        </is>
      </c>
      <c r="L50" s="9" t="n">
        <v>0</v>
      </c>
      <c r="M50" s="8" t="inlineStr">
        <is>
          <t>Unknown</t>
        </is>
      </c>
      <c r="N50" s="7" t="inlineStr">
        <is>
          <t>Unknown (program portals)</t>
        </is>
      </c>
      <c r="O50" s="7" t="inlineStr">
        <is>
          <t>Unknown</t>
        </is>
      </c>
      <c r="P50" s="8" t="inlineStr">
        <is>
          <t>Cold; program application only.</t>
        </is>
      </c>
      <c r="Q50" s="9" t="n">
        <v>0</v>
      </c>
      <c r="R50" s="9" t="n">
        <v>0</v>
      </c>
      <c r="S50" s="9" t="n">
        <v>1</v>
      </c>
      <c r="T50" s="9" t="n">
        <v>0</v>
      </c>
      <c r="U50" s="9" t="n">
        <v>1</v>
      </c>
      <c r="V50" s="9" t="n">
        <v>3</v>
      </c>
      <c r="W50" s="10">
        <f>MAX(0,ROUND(Q50/5*Weights!$B$3+R50/5*Weights!$B$4+S50/5*Weights!$B$5+T50/5*Weights!$B$6+U50/5*Weights!$B$7+V50/5*Weights!$B$8-L50*Weights!$B$9,0))</f>
        <v>12</v>
      </c>
      <c r="X50" s="10" t="str">
        <f>IF(W50&gt;=Weights!$B$12,"A",IF(W50&gt;=Weights!$B$13,"B","C"))</f>
        <v>C</v>
      </c>
      <c r="Y50" s="11" t="inlineStr">
        <is>
          <t>Not contacted</t>
        </is>
      </c>
      <c r="Z50" s="7" t="inlineStr">
        <is>
          <t>Nate</t>
        </is>
      </c>
      <c r="AA50" s="8" t="inlineStr">
        <is>
          <t>Off-thesis (cleantech, government). Exclude. Sourced via Jennacap.ai (screened out).</t>
        </is>
      </c>
      <c r="AB50" s="7" t="inlineStr">
        <is>
          <t>2026-10-05</t>
        </is>
      </c>
      <c r="AC50" s="8" t="inlineStr">
        <is>
          <t>https://www.nyserda.ny.gov/All-Programs/Innovation-at-NYSERDA</t>
        </is>
      </c>
      <c r="AD50" s="8" t="inlineStr">
        <is>
          <t>Sourced via Jennacap.ai. OFF-THESIS. Clean-energy mandate only.</t>
        </is>
      </c>
    </row>
    <row r="51">
      <c r="A51" s="7" t="inlineStr">
        <is>
          <t>Perceptive Xontogeny Ventures</t>
        </is>
      </c>
      <c r="B51" s="7" t="inlineStr">
        <is>
          <t>Therapeutics platform (Perceptive + Xontogeny)</t>
        </is>
      </c>
      <c r="C51" s="7" t="inlineStr">
        <is>
          <t>New York / Boston</t>
        </is>
      </c>
      <c r="D51" s="8" t="inlineStr">
        <is>
          <t>Fund II $515M (May 2021)</t>
        </is>
      </c>
      <c r="E51" s="8" t="inlineStr">
        <is>
          <t>Leads Series A/B; clinical-stage drugs</t>
        </is>
      </c>
      <c r="F51" s="7" t="inlineStr">
        <is>
          <t>$10M to $20M</t>
        </is>
      </c>
      <c r="G51" s="7" t="inlineStr">
        <is>
          <t>No (therapeutics)</t>
        </is>
      </c>
      <c r="H51" s="7" t="inlineStr">
        <is>
          <t>No</t>
        </is>
      </c>
      <c r="I51" s="8" t="inlineStr">
        <is>
          <t>Landos (acq. AbbVie 2024), Lexeo; advancing drug products preclinical to clinical.</t>
        </is>
      </c>
      <c r="J51" s="8" t="inlineStr">
        <is>
          <t>None; therapeutics.</t>
        </is>
      </c>
      <c r="K51" s="8" t="inlineStr">
        <is>
          <t>None identified.</t>
        </is>
      </c>
      <c r="L51" s="9" t="n">
        <v>0</v>
      </c>
      <c r="M51" s="8" t="inlineStr">
        <is>
          <t>Unknown</t>
        </is>
      </c>
      <c r="N51" s="7" t="inlineStr">
        <is>
          <t>Unknown</t>
        </is>
      </c>
      <c r="O51" s="7" t="inlineStr">
        <is>
          <t>Unknown</t>
        </is>
      </c>
      <c r="P51" s="8" t="inlineStr">
        <is>
          <t>Cold; no named node.</t>
        </is>
      </c>
      <c r="Q51" s="9" t="n">
        <v>3</v>
      </c>
      <c r="R51" s="9" t="n">
        <v>1</v>
      </c>
      <c r="S51" s="9" t="n">
        <v>1</v>
      </c>
      <c r="T51" s="9" t="n">
        <v>1</v>
      </c>
      <c r="U51" s="9" t="n">
        <v>1</v>
      </c>
      <c r="V51" s="9" t="n">
        <v>4</v>
      </c>
      <c r="W51" s="10">
        <f>MAX(0,ROUND(Q51/5*Weights!$B$3+R51/5*Weights!$B$4+S51/5*Weights!$B$5+T51/5*Weights!$B$6+U51/5*Weights!$B$7+V51/5*Weights!$B$8-L51*Weights!$B$9,0))</f>
        <v>38</v>
      </c>
      <c r="X51" s="10" t="str">
        <f>IF(W51&gt;=Weights!$B$12,"A",IF(W51&gt;=Weights!$B$13,"B","C"))</f>
        <v>C</v>
      </c>
      <c r="Y51" s="11" t="inlineStr">
        <is>
          <t>Not contacted</t>
        </is>
      </c>
      <c r="Z51" s="7" t="inlineStr">
        <is>
          <t>Nate</t>
        </is>
      </c>
      <c r="AA51" s="8" t="inlineStr">
        <is>
          <t>Off-thesis therapeutics; checks 2-3x the whole seed. Sourced via Jennacap.ai (screened out).</t>
        </is>
      </c>
      <c r="AB51" s="7" t="inlineStr">
        <is>
          <t>2026-10-05</t>
        </is>
      </c>
      <c r="AC51" s="8" t="inlineStr">
        <is>
          <t>https://xontogeny.com/news/perceptive-advisors-closes-515-million-perceptive-xontogeny-venture-fund-ii-lp/</t>
        </is>
      </c>
      <c r="AD51" s="8" t="inlineStr">
        <is>
          <t>Sourced via Jennacap.ai. POOR FIT. $10-20M concentrated therapeutics checks.</t>
        </is>
      </c>
    </row>
    <row r="52">
      <c r="A52" s="7" t="inlineStr">
        <is>
          <t>Abingworth</t>
        </is>
      </c>
      <c r="B52" s="7" t="inlineStr">
        <is>
          <t>Therapeutics life-science investor (Carlyle)</t>
        </is>
      </c>
      <c r="C52" s="7" t="inlineStr">
        <is>
          <t>London / Boston</t>
        </is>
      </c>
      <c r="D52" s="8" t="inlineStr">
        <is>
          <t>Bioventures 8 ~$466M</t>
        </is>
      </c>
      <c r="E52" s="8" t="inlineStr">
        <is>
          <t>Seed to clinical co-development; drugs</t>
        </is>
      </c>
      <c r="F52" s="7" t="inlineStr">
        <is>
          <t>Unknown</t>
        </is>
      </c>
      <c r="G52" s="7" t="inlineStr">
        <is>
          <t>No (therapeutics)</t>
        </is>
      </c>
      <c r="H52" s="7" t="inlineStr">
        <is>
          <t>No</t>
        </is>
      </c>
      <c r="I52" s="8" t="inlineStr">
        <is>
          <t>Biotherapeutics, gene/cell therapy, small molecules; drug developers.</t>
        </is>
      </c>
      <c r="J52" s="8" t="inlineStr">
        <is>
          <t>None; therapeutics.</t>
        </is>
      </c>
      <c r="K52" s="8" t="inlineStr">
        <is>
          <t>None identified.</t>
        </is>
      </c>
      <c r="L52" s="9" t="n">
        <v>0</v>
      </c>
      <c r="M52" s="8" t="inlineStr">
        <is>
          <t>Unknown</t>
        </is>
      </c>
      <c r="N52" s="7" t="inlineStr">
        <is>
          <t>Unknown</t>
        </is>
      </c>
      <c r="O52" s="7" t="inlineStr">
        <is>
          <t>Unknown</t>
        </is>
      </c>
      <c r="P52" s="8" t="inlineStr">
        <is>
          <t>Cold; no named node.</t>
        </is>
      </c>
      <c r="Q52" s="9" t="n">
        <v>3</v>
      </c>
      <c r="R52" s="9" t="n">
        <v>1</v>
      </c>
      <c r="S52" s="9" t="n">
        <v>2</v>
      </c>
      <c r="T52" s="9" t="n">
        <v>0</v>
      </c>
      <c r="U52" s="9" t="n">
        <v>1</v>
      </c>
      <c r="V52" s="9" t="n">
        <v>4</v>
      </c>
      <c r="W52" s="10">
        <f>MAX(0,ROUND(Q52/5*Weights!$B$3+R52/5*Weights!$B$4+S52/5*Weights!$B$5+T52/5*Weights!$B$6+U52/5*Weights!$B$7+V52/5*Weights!$B$8-L52*Weights!$B$9,0))</f>
        <v>40</v>
      </c>
      <c r="X52" s="10" t="str">
        <f>IF(W52&gt;=Weights!$B$12,"A",IF(W52&gt;=Weights!$B$13,"B","C"))</f>
        <v>C</v>
      </c>
      <c r="Y52" s="11" t="inlineStr">
        <is>
          <t>Not contacted</t>
        </is>
      </c>
      <c r="Z52" s="7" t="inlineStr">
        <is>
          <t>Nate</t>
        </is>
      </c>
      <c r="AA52" s="8" t="inlineStr">
        <is>
          <t>Off-thesis therapeutics investor. Sourced via Jennacap.ai (screened out).</t>
        </is>
      </c>
      <c r="AB52" s="7" t="inlineStr">
        <is>
          <t>2026-10-05</t>
        </is>
      </c>
      <c r="AC52" s="8" t="inlineStr">
        <is>
          <t>https://www.abingworth.com/about</t>
        </is>
      </c>
      <c r="AD52" s="8" t="inlineStr">
        <is>
          <t>Sourced via Jennacap.ai. POOR FIT.</t>
        </is>
      </c>
    </row>
    <row r="53">
      <c r="A53" s="7" t="inlineStr">
        <is>
          <t>3M Ventures</t>
        </is>
      </c>
      <c r="B53" s="7" t="inlineStr">
        <is>
          <t>Industrial corporate venture arm</t>
        </is>
      </c>
      <c r="C53" s="7" t="inlineStr">
        <is>
          <t>St. Paul, MN</t>
        </is>
      </c>
      <c r="D53" s="8" t="inlineStr">
        <is>
          <t>Corporate CVC</t>
        </is>
      </c>
      <c r="E53" s="8" t="inlineStr">
        <is>
          <t>Climate tech, industrial automation, materials, semiconductors</t>
        </is>
      </c>
      <c r="F53" s="7" t="inlineStr">
        <is>
          <t>Unknown</t>
        </is>
      </c>
      <c r="G53" s="7" t="inlineStr">
        <is>
          <t>No (strategic)</t>
        </is>
      </c>
      <c r="H53" s="7" t="inlineStr">
        <is>
          <t>No</t>
        </is>
      </c>
      <c r="I53" s="8" t="inlineStr">
        <is>
          <t>No life-science/software-infra thesis.</t>
        </is>
      </c>
      <c r="J53" s="8" t="inlineStr">
        <is>
          <t>Some AI in industrial context; off-thesis for drug-dev.</t>
        </is>
      </c>
      <c r="K53" s="8" t="inlineStr">
        <is>
          <t>None identified.</t>
        </is>
      </c>
      <c r="L53" s="9" t="n">
        <v>0</v>
      </c>
      <c r="M53" s="8" t="inlineStr">
        <is>
          <t>Unknown</t>
        </is>
      </c>
      <c r="N53" s="7" t="inlineStr">
        <is>
          <t>Unknown</t>
        </is>
      </c>
      <c r="O53" s="7" t="inlineStr">
        <is>
          <t>Unknown</t>
        </is>
      </c>
      <c r="P53" s="8" t="inlineStr">
        <is>
          <t>Cold; strategic only.</t>
        </is>
      </c>
      <c r="Q53" s="9" t="n">
        <v>0</v>
      </c>
      <c r="R53" s="9" t="n">
        <v>1</v>
      </c>
      <c r="S53" s="9" t="n">
        <v>2</v>
      </c>
      <c r="T53" s="9" t="n">
        <v>0</v>
      </c>
      <c r="U53" s="9" t="n">
        <v>1</v>
      </c>
      <c r="V53" s="9" t="n">
        <v>4</v>
      </c>
      <c r="W53" s="10">
        <f>MAX(0,ROUND(Q53/5*Weights!$B$3+R53/5*Weights!$B$4+S53/5*Weights!$B$5+T53/5*Weights!$B$6+U53/5*Weights!$B$7+V53/5*Weights!$B$8-L53*Weights!$B$9,0))</f>
        <v>22</v>
      </c>
      <c r="X53" s="10" t="str">
        <f>IF(W53&gt;=Weights!$B$12,"A",IF(W53&gt;=Weights!$B$13,"B","C"))</f>
        <v>C</v>
      </c>
      <c r="Y53" s="11" t="inlineStr">
        <is>
          <t>Not contacted</t>
        </is>
      </c>
      <c r="Z53" s="7" t="inlineStr">
        <is>
          <t>Nate</t>
        </is>
      </c>
      <c r="AA53" s="8" t="inlineStr">
        <is>
          <t>Off-thesis industrial/materials/climate CVC. Sourced via Jennacap.ai (screened out).</t>
        </is>
      </c>
      <c r="AB53" s="7" t="inlineStr">
        <is>
          <t>2026-10-05</t>
        </is>
      </c>
      <c r="AC53" s="8" t="inlineStr">
        <is>
          <t>https://www.3m.com/3M/en_US/about-3m/ventures/</t>
        </is>
      </c>
      <c r="AD53" s="8" t="inlineStr">
        <is>
          <t>Sourced via Jennacap.ai. POOR FIT. JetZero Mar 2026, Ayar Labs Dec 2024 (aerospace/semis).</t>
        </is>
      </c>
    </row>
    <row r="54">
      <c r="A54" s="7" t="inlineStr">
        <is>
          <t>At One Ventures</t>
        </is>
      </c>
      <c r="B54" s="7" t="inlineStr">
        <is>
          <t>Climate/nature deep-tech VC</t>
        </is>
      </c>
      <c r="C54" s="7" t="inlineStr">
        <is>
          <t>San Francisco, CA</t>
        </is>
      </c>
      <c r="D54" s="8" t="inlineStr">
        <is>
          <t>~$525M AUM</t>
        </is>
      </c>
      <c r="E54" s="8" t="inlineStr">
        <is>
          <t>Seed/early; climate/nature hardware</t>
        </is>
      </c>
      <c r="F54" s="7" t="inlineStr">
        <is>
          <t>Unknown</t>
        </is>
      </c>
      <c r="G54" s="7" t="inlineStr">
        <is>
          <t>No (climate hardware)</t>
        </is>
      </c>
      <c r="H54" s="7" t="inlineStr">
        <is>
          <t>No</t>
        </is>
      </c>
      <c r="I54" s="8" t="inlineStr">
        <is>
          <t>Climate/nature-positive hardware; buildings, energy, food/ag.</t>
        </is>
      </c>
      <c r="J54" s="8" t="inlineStr">
        <is>
          <t>Deep tech; off-thesis for drug-dev software.</t>
        </is>
      </c>
      <c r="K54" s="8" t="inlineStr">
        <is>
          <t>None identified.</t>
        </is>
      </c>
      <c r="L54" s="9" t="n">
        <v>0</v>
      </c>
      <c r="M54" s="8" t="inlineStr">
        <is>
          <t>Unknown</t>
        </is>
      </c>
      <c r="N54" s="7" t="inlineStr">
        <is>
          <t>Tom Chi</t>
        </is>
      </c>
      <c r="O54" s="7" t="inlineStr">
        <is>
          <t>Founder &amp; Managing Partner</t>
        </is>
      </c>
      <c r="P54" s="8" t="inlineStr">
        <is>
          <t>Cold; no named node.</t>
        </is>
      </c>
      <c r="Q54" s="9" t="n">
        <v>0</v>
      </c>
      <c r="R54" s="9" t="n">
        <v>1</v>
      </c>
      <c r="S54" s="9" t="n">
        <v>3</v>
      </c>
      <c r="T54" s="9" t="n">
        <v>0</v>
      </c>
      <c r="U54" s="9" t="n">
        <v>1</v>
      </c>
      <c r="V54" s="9" t="n">
        <v>4</v>
      </c>
      <c r="W54" s="10">
        <f>MAX(0,ROUND(Q54/5*Weights!$B$3+R54/5*Weights!$B$4+S54/5*Weights!$B$5+T54/5*Weights!$B$6+U54/5*Weights!$B$7+V54/5*Weights!$B$8-L54*Weights!$B$9,0))</f>
        <v>26</v>
      </c>
      <c r="X54" s="10" t="str">
        <f>IF(W54&gt;=Weights!$B$12,"A",IF(W54&gt;=Weights!$B$13,"B","C"))</f>
        <v>C</v>
      </c>
      <c r="Y54" s="11" t="inlineStr">
        <is>
          <t>Not contacted</t>
        </is>
      </c>
      <c r="Z54" s="7" t="inlineStr">
        <is>
          <t>Nate</t>
        </is>
      </c>
      <c r="AA54" s="8" t="inlineStr">
        <is>
          <t>Off-thesis (climate/nature hardware). Sourced via Jennacap.ai (screened out).</t>
        </is>
      </c>
      <c r="AB54" s="7" t="inlineStr">
        <is>
          <t>2026-10-05</t>
        </is>
      </c>
      <c r="AC54" s="8" t="inlineStr">
        <is>
          <t>https://impactalpha.com/at-one-ventures-closes-375-million-deeptech-climate-fund/</t>
        </is>
      </c>
      <c r="AD54" s="8" t="inlineStr">
        <is>
          <t>Sourced via Jennacap.ai. POOR FIT.</t>
        </is>
      </c>
    </row>
    <row r="55">
      <c r="A55" s="7" t="inlineStr">
        <is>
          <t>Oncology Ventures</t>
        </is>
      </c>
      <c r="B55" s="7" t="inlineStr">
        <is>
          <t>Seed-stage cancer-care data/AI fund (single-GP)</t>
        </is>
      </c>
      <c r="C55" s="7" t="inlineStr">
        <is>
          <t>New York, NY</t>
        </is>
      </c>
      <c r="D55" s="8" t="inlineStr">
        <is>
          <t>Fund I, $30M (~2024); a ~$62M 2026 figure is unconfirmed</t>
        </is>
      </c>
      <c r="E55" s="8" t="inlineStr">
        <is>
          <t>Pre-seed/seed cancer-care data &amp; tech; often co-invests</t>
        </is>
      </c>
      <c r="F55" s="7" t="inlineStr">
        <is>
          <t>Unknown</t>
        </is>
      </c>
      <c r="G55" s="7" t="inlineStr">
        <is>
          <t>Selective (co-invests often)</t>
        </is>
      </c>
      <c r="H55" s="7" t="inlineStr">
        <is>
          <t>Yes (CRM: lead, CONNECTED)</t>
        </is>
      </c>
      <c r="I55" s="8" t="inlineStr">
        <is>
          <t>Oncology-only, NON-drug: cancer-care data, AI, interoperability. Strategic LPs Cardinal Health, City of Hope, Moffitt. Does NOT fund therapeutics/devices.</t>
        </is>
      </c>
      <c r="J55" s="8" t="inlineStr">
        <is>
          <t>Cancer data + AI thesis; Risa/RISA Labs (AI oncology workflow, Apr 2025), Tono, Lumonus, mPATH.</t>
        </is>
      </c>
      <c r="K55" s="8" t="inlineStr">
        <is>
          <t>IgniteData / Archer (EHR-to-EDC clinical-trial data transfer) is a soft adjacency to Foresight's data management, not a hard conflict.</t>
        </is>
      </c>
      <c r="L55" s="9" t="n">
        <v>0</v>
      </c>
      <c r="M55" s="8" t="inlineStr">
        <is>
          <t>Unknown</t>
        </is>
      </c>
      <c r="N55" s="7" t="inlineStr">
        <is>
          <t>Ben Freeberg</t>
        </is>
      </c>
      <c r="O55" s="7" t="inlineStr">
        <is>
          <t>Founder &amp; Managing Partner</t>
        </is>
      </c>
      <c r="P55" s="8" t="inlineStr">
        <is>
          <t>DIRECT: existing CONNECTED relationship in the CRM with the MP (last contacted Jun 2026). Work directly, not via DLA.</t>
        </is>
      </c>
      <c r="Q55" s="9" t="n">
        <v>3</v>
      </c>
      <c r="R55" s="9" t="n">
        <v>4</v>
      </c>
      <c r="S55" s="9" t="n">
        <v>4</v>
      </c>
      <c r="T55" s="9" t="n">
        <v>0</v>
      </c>
      <c r="U55" s="9" t="n">
        <v>5</v>
      </c>
      <c r="V55" s="9" t="n">
        <v>5</v>
      </c>
      <c r="W55" s="10">
        <f>MAX(0,ROUND(Q55/5*Weights!$B$3+R55/5*Weights!$B$4+S55/5*Weights!$B$5+T55/5*Weights!$B$6+U55/5*Weights!$B$7+V55/5*Weights!$B$8-L55*Weights!$B$9,0))</f>
        <v>70</v>
      </c>
      <c r="X55" s="10" t="str">
        <f>IF(W55&gt;=Weights!$B$12,"A",IF(W55&gt;=Weights!$B$13,"B","C"))</f>
        <v>A</v>
      </c>
      <c r="Y55" s="11" t="inlineStr">
        <is>
          <t>Researching</t>
        </is>
      </c>
      <c r="Z55" s="7" t="inlineStr">
        <is>
          <t>Nate</t>
        </is>
      </c>
      <c r="AA55" s="8" t="inlineStr">
        <is>
          <t>Work the existing Ben Freeberg relationship directly; front an oncology-program angle. Note co-invest tendency (line up a lead).</t>
        </is>
      </c>
      <c r="AB55" s="7" t="inlineStr">
        <is>
          <t>2026-10-05</t>
        </is>
      </c>
      <c r="AC55" s="8" t="inlineStr">
        <is>
          <t>https://www.hcinnovationgroup.com/finance-revenue-cycle/news/55136523/oncology-focused-venture-capital-firm-closes-30m-fund; https://www.crunchbase.com/organization/oncology-ventures</t>
        </is>
      </c>
      <c r="AD55" s="8" t="inlineStr">
        <is>
          <t>Already in HubSpot (lead, CONNECTED). Email ben@oncology.ventures VERIFIED via CRM contact. Warm-path 5 = direct existing relationship. Oncology-only mandate is the main fit caveat.</t>
        </is>
      </c>
    </row>
    <row r="56">
      <c r="A56" s="7" t="inlineStr">
        <is>
          <t>Silversmith Capital Partners</t>
        </is>
      </c>
      <c r="B56" s="7" t="inlineStr">
        <is>
          <t>Growth-equity firm (healthcare IT / vertical SaaS)</t>
        </is>
      </c>
      <c r="C56" s="7" t="inlineStr">
        <is>
          <t>Boston, MA</t>
        </is>
      </c>
      <c r="D56" s="8" t="inlineStr">
        <is>
          <t>Fund V, $1.7B, closed Jul 2025 ($5B+ AUM)</t>
        </is>
      </c>
      <c r="E56" s="8" t="inlineStr">
        <is>
          <t>Growth-stage (Series B+); minority or majority</t>
        </is>
      </c>
      <c r="F56" s="7" t="inlineStr">
        <is>
          <t>$20M to $125M</t>
        </is>
      </c>
      <c r="G56" s="7" t="inlineStr">
        <is>
          <t>No (growth-stage)</t>
        </is>
      </c>
      <c r="H56" s="7" t="inlineStr">
        <is>
          <t>No</t>
        </is>
      </c>
      <c r="I56" s="8" t="inlineStr">
        <is>
          <t>Deep Healthcare IT &amp; Services book: Iodine Software (clinical AI/CDI), Panalgo (RWD/HEOR), Centauri, LifeStance, Nordic.</t>
        </is>
      </c>
      <c r="J56" s="8" t="inlineStr">
        <is>
          <t>Vertical SaaS + information services; some AI (Iodine clinical AI). Not an AI-for-science specialist.</t>
        </is>
      </c>
      <c r="K56" s="8" t="inlineStr">
        <is>
          <t>Panalgo (RWD/HEOR analytics) is adjacent to iViz but exited to Norstella (no longer active); not a live conflict.</t>
        </is>
      </c>
      <c r="L56" s="9" t="n">
        <v>0</v>
      </c>
      <c r="M56" s="8" t="inlineStr">
        <is>
          <t>Unknown</t>
        </is>
      </c>
      <c r="N56" s="7" t="inlineStr">
        <is>
          <t>Jeff Crisan</t>
        </is>
      </c>
      <c r="O56" s="7" t="inlineStr">
        <is>
          <t>Co-Founder &amp; Managing Partner, Healthcare IT &amp; Services (alt: Jim Quagliaroli)</t>
        </is>
      </c>
      <c r="P56" s="8" t="inlineStr">
        <is>
          <t>Cold; no named node.</t>
        </is>
      </c>
      <c r="Q56" s="9" t="n">
        <v>4</v>
      </c>
      <c r="R56" s="9" t="n">
        <v>3</v>
      </c>
      <c r="S56" s="9" t="n">
        <v>1</v>
      </c>
      <c r="T56" s="9" t="n">
        <v>1</v>
      </c>
      <c r="U56" s="9" t="n">
        <v>1</v>
      </c>
      <c r="V56" s="9" t="n">
        <v>5</v>
      </c>
      <c r="W56" s="10">
        <f>MAX(0,ROUND(Q56/5*Weights!$B$3+R56/5*Weights!$B$4+S56/5*Weights!$B$5+T56/5*Weights!$B$6+U56/5*Weights!$B$7+V56/5*Weights!$B$8-L56*Weights!$B$9,0))</f>
        <v>54</v>
      </c>
      <c r="X56" s="10" t="str">
        <f>IF(W56&gt;=Weights!$B$12,"A",IF(W56&gt;=Weights!$B$13,"B","C"))</f>
        <v>B</v>
      </c>
      <c r="Y56" s="11" t="inlineStr">
        <is>
          <t>Not contacted</t>
        </is>
      </c>
      <c r="Z56" s="7" t="inlineStr">
        <is>
          <t>Nate</t>
        </is>
      </c>
      <c r="AA56" s="8" t="inlineStr">
        <is>
          <t>WRONG STAGE for a $6M seed ($20M+ checks). File for Series B+; keep Jeff Crisan warm.</t>
        </is>
      </c>
      <c r="AB56" s="7" t="inlineStr">
        <is>
          <t>2026-10-05</t>
        </is>
      </c>
      <c r="AC56" s="8" t="inlineStr">
        <is>
          <t>https://www.silversmith.com/news/silversmith-capital-partners-closes-1-7-billion-fifth-fund; https://www.silversmith.com/portfolio</t>
        </is>
      </c>
      <c r="AD56" s="8" t="inlineStr">
        <is>
          <t>Right thesis (Door C, healthcare IT / vertical SaaS), wrong stage. Score 54 overstates seed-fit; treat as a later-round name. Email jcrisan@silversmith.com inferred (ZoomInfo j***@silversmith.com).</t>
        </is>
      </c>
    </row>
    <row r="57">
      <c r="A57" s="7" t="inlineStr">
        <is>
          <t>Care Equity</t>
        </is>
      </c>
      <c r="B57" s="7" t="inlineStr">
        <is>
          <t>Private equity (growth/control, life-science tools &amp; services)</t>
        </is>
      </c>
      <c r="C57" s="7" t="inlineStr">
        <is>
          <t>New York, NY</t>
        </is>
      </c>
      <c r="D57" s="8" t="inlineStr">
        <is>
          <t>Care Equity II, $302M (Oct 2022); Fund I $125M (~$425M AUM)</t>
        </is>
      </c>
      <c r="E57" s="8" t="inlineStr">
        <is>
          <t>Growth/buyout PE; NOT venture seed</t>
        </is>
      </c>
      <c r="F57" s="7" t="inlineStr">
        <is>
          <t>Unknown (8-figure PE checks)</t>
        </is>
      </c>
      <c r="G57" s="7" t="inlineStr">
        <is>
          <t>No</t>
        </is>
      </c>
      <c r="H57" s="7" t="inlineStr">
        <is>
          <t>Yes (CRM: lead)</t>
        </is>
      </c>
      <c r="I57" s="8" t="inlineStr">
        <is>
          <t>Wet-lab / bioanalytics tools &amp; services: OmicScouts (proteomics, exited to Momentum Mar 2025), TATAA Biocenter, Sapient Bioanalytics.</t>
        </is>
      </c>
      <c r="J57" s="8" t="inlineStr">
        <is>
          <t>None found; no AI/software-infrastructure holdings.</t>
        </is>
      </c>
      <c r="K57" s="8" t="inlineStr">
        <is>
          <t>None competing with Foresight/iViz; portfolio is lab services.</t>
        </is>
      </c>
      <c r="L57" s="9" t="n">
        <v>0</v>
      </c>
      <c r="M57" s="8" t="inlineStr">
        <is>
          <t>Unknown</t>
        </is>
      </c>
      <c r="N57" s="7" t="inlineStr">
        <is>
          <t>Sofia Etlin (firm: Peter Batesko, Founder/CEO)</t>
        </is>
      </c>
      <c r="O57" s="7" t="inlineStr">
        <is>
          <t>CRM contact</t>
        </is>
      </c>
      <c r="P57" s="8" t="inlineStr">
        <is>
          <t>Existing CRM contact (Sofia Etlin, lead stage); lighter than Oncology Ventures. Work directly if pursued.</t>
        </is>
      </c>
      <c r="Q57" s="9" t="n">
        <v>3</v>
      </c>
      <c r="R57" s="9" t="n">
        <v>1</v>
      </c>
      <c r="S57" s="9" t="n">
        <v>1</v>
      </c>
      <c r="T57" s="9" t="n">
        <v>1</v>
      </c>
      <c r="U57" s="9" t="n">
        <v>3</v>
      </c>
      <c r="V57" s="9" t="n">
        <v>4</v>
      </c>
      <c r="W57" s="10">
        <f>MAX(0,ROUND(Q57/5*Weights!$B$3+R57/5*Weights!$B$4+S57/5*Weights!$B$5+T57/5*Weights!$B$6+U57/5*Weights!$B$7+V57/5*Weights!$B$8-L57*Weights!$B$9,0))</f>
        <v>42</v>
      </c>
      <c r="X57" s="10" t="str">
        <f>IF(W57&gt;=Weights!$B$12,"A",IF(W57&gt;=Weights!$B$13,"B","C"))</f>
        <v>C</v>
      </c>
      <c r="Y57" s="11" t="inlineStr">
        <is>
          <t>Not contacted</t>
        </is>
      </c>
      <c r="Z57" s="7" t="inlineStr">
        <is>
          <t>Nate</t>
        </is>
      </c>
      <c r="AA57" s="8" t="inlineStr">
        <is>
          <t>PASS: off-thesis PE (control in lab tools/services), wrong structure for a $6M software seed.</t>
        </is>
      </c>
      <c r="AB57" s="7" t="inlineStr">
        <is>
          <t>2026-10-05</t>
        </is>
      </c>
      <c r="AC57" s="8" t="inlineStr">
        <is>
          <t>https://pitchbook.com/profiles/investor/458093-80; https://www.privateequityinternational.com/institution-profiles/care-equity.html</t>
        </is>
      </c>
      <c r="AD57" s="8" t="inlineStr">
        <is>
          <t>Already in HubSpot (lead). Email sofia@careequity.com VERIFIED via CRM; firm head Peter Batesko (peter@careequity.com inferred). Off-thesis growth/control PE in life-science lab services.</t>
        </is>
      </c>
    </row>
  </sheetData>
  <autoFilter ref="A1:AD57"/>
  <conditionalFormatting sqref="W2:W57">
    <cfRule type="colorScale" priority="1">
      <colorScale>
        <cfvo type="num" val="0"/>
        <cfvo type="num" val="50"/>
        <cfvo type="num" val="100"/>
        <color rgb="00F8B4B4"/>
        <color rgb="00FDE68A"/>
        <color rgb="00A7F3D0"/>
      </colorScale>
    </cfRule>
  </conditionalFormatting>
  <dataValidations count="3">
    <dataValidation sqref="Y2:Y257" showDropDown="0" showInputMessage="0" showErrorMessage="0" allowBlank="1" type="list">
      <formula1>"Not contacted,Researching,Intro requested,Intro made,First meeting,Diligence,Term sheet,Closed,Passed"</formula1>
    </dataValidation>
    <dataValidation sqref="Q2:Q257 R2:R257 S2:S257 T2:T257 U2:U257 V2:V257" showDropDown="0" showInputMessage="0" showErrorMessage="0" allowBlank="1" type="whole" operator="between">
      <formula1>0</formula1>
      <formula2>5</formula2>
    </dataValidation>
    <dataValidation sqref="L2:L257" showDropDown="0" showInputMessage="0" showErrorMessage="0" allowBlank="1" type="whole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60" customWidth="1" min="3" max="3"/>
  </cols>
  <sheetData>
    <row r="1">
      <c r="A1" s="1" t="inlineStr">
        <is>
          <t>Scoring weights</t>
        </is>
      </c>
    </row>
    <row r="2">
      <c r="A2" s="12" t="inlineStr">
        <is>
          <t>Dimension</t>
        </is>
      </c>
      <c r="B2" s="12" t="inlineStr">
        <is>
          <t>Weight</t>
        </is>
      </c>
      <c r="C2" s="12" t="inlineStr">
        <is>
          <t>Note</t>
        </is>
      </c>
    </row>
    <row r="3">
      <c r="A3" s="13" t="inlineStr">
        <is>
          <t>Life science and TechBio evidence</t>
        </is>
      </c>
      <c r="B3" s="14" t="n">
        <v>30</v>
      </c>
      <c r="C3" s="3" t="inlineStr">
        <is>
          <t>Strongest predictor of a partner who can underwrite without a long education cycle.</t>
        </is>
      </c>
    </row>
    <row r="4">
      <c r="A4" s="13" t="inlineStr">
        <is>
          <t>Applied AI thesis evidence</t>
        </is>
      </c>
      <c r="B4" s="14" t="n">
        <v>20</v>
      </c>
      <c r="C4" s="3" t="inlineStr">
        <is>
          <t>Written thesis or an AI-native portfolio, not a homepage mention.</t>
        </is>
      </c>
    </row>
    <row r="5">
      <c r="A5" s="13" t="inlineStr">
        <is>
          <t>Stage fit</t>
        </is>
      </c>
      <c r="B5" s="14" t="n">
        <v>20</v>
      </c>
      <c r="C5" s="3" t="inlineStr">
        <is>
          <t>Scored against the confirmed round parameters, not a general notion of seed.</t>
        </is>
      </c>
    </row>
    <row r="6">
      <c r="A6" s="13" t="inlineStr">
        <is>
          <t>Check size fit</t>
        </is>
      </c>
      <c r="B6" s="14" t="n">
        <v>10</v>
      </c>
      <c r="C6" s="3" t="inlineStr">
        <is>
          <t>Score 0 if unknown. Do not derive a check size from a fund size.</t>
        </is>
      </c>
    </row>
    <row r="7">
      <c r="A7" s="13" t="inlineStr">
        <is>
          <t>Warm path strength</t>
        </is>
      </c>
      <c r="B7" s="14" t="n">
        <v>10</v>
      </c>
      <c r="C7" s="3" t="inlineStr">
        <is>
          <t>A named node scores high. An unnamed warm intro scores 2.</t>
        </is>
      </c>
    </row>
    <row r="8">
      <c r="A8" s="13" t="inlineStr">
        <is>
          <t>Deployment activity</t>
        </is>
      </c>
      <c r="B8" s="14" t="n">
        <v>10</v>
      </c>
      <c r="C8" s="3" t="inlineStr">
        <is>
          <t>Dry powder and pace. Late-cycle funds take meetings and do not write.</t>
        </is>
      </c>
    </row>
    <row r="9">
      <c r="A9" s="13" t="inlineStr">
        <is>
          <t>Conflict penalty (points)</t>
        </is>
      </c>
      <c r="B9" s="14" t="n">
        <v>25</v>
      </c>
      <c r="C9" s="3" t="inlineStr">
        <is>
          <t>Subtracted when Conflict flag is 1. Demotes rather than excludes.</t>
        </is>
      </c>
    </row>
    <row r="10">
      <c r="A10" s="15" t="inlineStr">
        <is>
          <t>Total weight (should be 100)</t>
        </is>
      </c>
      <c r="B10" s="13">
        <f>SUM(B3:B8)</f>
        <v/>
      </c>
    </row>
    <row r="12">
      <c r="A12" s="13" t="inlineStr">
        <is>
          <t>Tier A threshold</t>
        </is>
      </c>
      <c r="B12" s="14" t="n">
        <v>70</v>
      </c>
    </row>
    <row r="13">
      <c r="A13" s="13" t="inlineStr">
        <is>
          <t>Tier B threshold</t>
        </is>
      </c>
      <c r="B13" s="14" t="n">
        <v>50</v>
      </c>
    </row>
    <row r="15">
      <c r="A15" s="16" t="inlineStr">
        <is>
          <t>Blue figures are editable levers.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6" customWidth="1" min="3" max="3"/>
    <col width="58" customWidth="1" min="4" max="4"/>
    <col width="14" customWidth="1" min="5" max="5"/>
  </cols>
  <sheetData>
    <row r="1">
      <c r="A1" s="12" t="inlineStr">
        <is>
          <t>Firm</t>
        </is>
      </c>
      <c r="B1" s="12" t="inlineStr">
        <is>
          <t>Claim supported</t>
        </is>
      </c>
      <c r="C1" s="12" t="inlineStr">
        <is>
          <t>Source</t>
        </is>
      </c>
      <c r="D1" s="12" t="inlineStr">
        <is>
          <t>URL or record ID</t>
        </is>
      </c>
      <c r="E1" s="12" t="inlineStr">
        <is>
          <t>Accessed</t>
        </is>
      </c>
    </row>
    <row r="2">
      <c r="A2" s="7" t="inlineStr">
        <is>
          <t>Dimension Capital</t>
        </is>
      </c>
      <c r="B2" s="8" t="inlineStr">
        <is>
          <t>Fund III $800M, Jul 2026, $1.65B AUM; Chai Discovery seed</t>
        </is>
      </c>
      <c r="C2" s="7" t="inlineStr">
        <is>
          <t>TechCrunch</t>
        </is>
      </c>
      <c r="D2" s="8" t="inlineStr">
        <is>
          <t>https://techcrunch.com/2026/07/21/dimension-capitals-800m-third-fund-shows-the-intersection-of-science-and-compute-is-booming/</t>
        </is>
      </c>
      <c r="E2" s="7" t="inlineStr">
        <is>
          <t>2026-07-27</t>
        </is>
      </c>
    </row>
    <row r="3">
      <c r="A3" s="7" t="inlineStr">
        <is>
          <t>Dimension Capital</t>
        </is>
      </c>
      <c r="B3" s="8" t="inlineStr">
        <is>
          <t>Firm thesis and team</t>
        </is>
      </c>
      <c r="C3" s="7" t="inlineStr">
        <is>
          <t>Firm website</t>
        </is>
      </c>
      <c r="D3" s="8" t="inlineStr">
        <is>
          <t>https://www.dimensioncap.com/</t>
        </is>
      </c>
      <c r="E3" s="7" t="inlineStr">
        <is>
          <t>2026-07-27</t>
        </is>
      </c>
    </row>
    <row r="4">
      <c r="A4" s="7" t="inlineStr">
        <is>
          <t>a16z Bio + Health</t>
        </is>
      </c>
      <c r="B4" s="8" t="inlineStr">
        <is>
          <t>AI-in-healthcare thesis and portfolio</t>
        </is>
      </c>
      <c r="C4" s="7" t="inlineStr">
        <is>
          <t>a16z</t>
        </is>
      </c>
      <c r="D4" s="8" t="inlineStr">
        <is>
          <t>https://a16z.com/infinite-healthcare-whats-it-worth/</t>
        </is>
      </c>
      <c r="E4" s="7" t="inlineStr">
        <is>
          <t>2026-07-27</t>
        </is>
      </c>
    </row>
    <row r="5">
      <c r="A5" s="7" t="inlineStr">
        <is>
          <t>a16z Bio + Health</t>
        </is>
      </c>
      <c r="B5" s="8" t="inlineStr">
        <is>
          <t>Julie Yoo role</t>
        </is>
      </c>
      <c r="C5" s="7" t="inlineStr">
        <is>
          <t>a16z</t>
        </is>
      </c>
      <c r="D5" s="8" t="inlineStr">
        <is>
          <t>https://a16z.com/author/julie-yoo/</t>
        </is>
      </c>
      <c r="E5" s="7" t="inlineStr">
        <is>
          <t>2026-07-27</t>
        </is>
      </c>
    </row>
    <row r="6">
      <c r="A6" s="7" t="inlineStr">
        <is>
          <t>Section 32</t>
        </is>
      </c>
      <c r="B6" s="8" t="inlineStr">
        <is>
          <t>Pellini leads healthcare; Freenome/precision medicine</t>
        </is>
      </c>
      <c r="C6" s="7" t="inlineStr">
        <is>
          <t>Crunchbase</t>
        </is>
      </c>
      <c r="D6" s="8" t="inlineStr">
        <is>
          <t>https://www.crunchbase.com/person/michael-j-pellini</t>
        </is>
      </c>
      <c r="E6" s="7" t="inlineStr">
        <is>
          <t>2026-07-27</t>
        </is>
      </c>
    </row>
    <row r="7">
      <c r="A7" s="7" t="inlineStr">
        <is>
          <t>Lux Capital</t>
        </is>
      </c>
      <c r="B7" s="8" t="inlineStr">
        <is>
          <t>Shakir is a Lux GP, health/AI focus</t>
        </is>
      </c>
      <c r="C7" s="7" t="inlineStr">
        <is>
          <t>Firm website</t>
        </is>
      </c>
      <c r="D7" s="8" t="inlineStr">
        <is>
          <t>https://www.luxcapital.com/people</t>
        </is>
      </c>
      <c r="E7" s="7" t="inlineStr">
        <is>
          <t>2026-07-27</t>
        </is>
      </c>
    </row>
    <row r="8">
      <c r="A8" s="7" t="inlineStr">
        <is>
          <t>Foresite Capital</t>
        </is>
      </c>
      <c r="B8" s="8" t="inlineStr">
        <is>
          <t>Fund VI $900M Jun 2024; Xaira co-lead</t>
        </is>
      </c>
      <c r="C8" s="7" t="inlineStr">
        <is>
          <t>BioPharma Dive</t>
        </is>
      </c>
      <c r="D8" s="8" t="inlineStr">
        <is>
          <t>https://www.biopharmadive.com/news/foresite-950-million-fund-vi-venture-capital/718617/</t>
        </is>
      </c>
      <c r="E8" s="7" t="inlineStr">
        <is>
          <t>2026-07-27</t>
        </is>
      </c>
    </row>
    <row r="9">
      <c r="A9" s="7" t="inlineStr">
        <is>
          <t>Khosla Ventures</t>
        </is>
      </c>
      <c r="B9" s="8" t="inlineStr">
        <is>
          <t>Khosla led Rad AI $50M Series B (2024)</t>
        </is>
      </c>
      <c r="C9" s="7" t="inlineStr">
        <is>
          <t>Rad AI</t>
        </is>
      </c>
      <c r="D9" s="8" t="inlineStr">
        <is>
          <t>https://www.radai.com/news/rad-ai-closes-50-million-to-empower-physicians-with-ai</t>
        </is>
      </c>
      <c r="E9" s="7" t="inlineStr">
        <is>
          <t>2026-07-27</t>
        </is>
      </c>
    </row>
    <row r="10">
      <c r="A10" s="7" t="inlineStr">
        <is>
          <t>DCVC Bio</t>
        </is>
      </c>
      <c r="B10" s="8" t="inlineStr">
        <is>
          <t>DCVC Bio III ~$700M, 2024</t>
        </is>
      </c>
      <c r="C10" s="7" t="inlineStr">
        <is>
          <t>VCwire</t>
        </is>
      </c>
      <c r="D10" s="8" t="inlineStr">
        <is>
          <t>https://vcwire.tech/2024/10/01/dcvc-closes-over-700m-in-new-funds/</t>
        </is>
      </c>
      <c r="E10" s="7" t="inlineStr">
        <is>
          <t>2026-07-27</t>
        </is>
      </c>
    </row>
    <row r="11">
      <c r="A11" s="7" t="inlineStr">
        <is>
          <t>Menlo Ventures</t>
        </is>
      </c>
      <c r="B11" s="8" t="inlineStr">
        <is>
          <t>Menlo led Chai Discovery $70M Series A (2025)</t>
        </is>
      </c>
      <c r="C11" s="7" t="inlineStr">
        <is>
          <t>PharmExec</t>
        </is>
      </c>
      <c r="D11" s="8" t="inlineStr">
        <is>
          <t>https://www.pharmexec.com/view/menlo-ventures-led-70-million-series-a-fundraiser-chai-discovery-transform-molecular-design</t>
        </is>
      </c>
      <c r="E11" s="7" t="inlineStr">
        <is>
          <t>2026-07-27</t>
        </is>
      </c>
    </row>
    <row r="12">
      <c r="A12" s="7" t="inlineStr">
        <is>
          <t>8VC</t>
        </is>
      </c>
      <c r="B12" s="8" t="inlineStr">
        <is>
          <t>Scotti healthcare focus at 8VC</t>
        </is>
      </c>
      <c r="C12" s="7" t="inlineStr">
        <is>
          <t>Signal/NFX</t>
        </is>
      </c>
      <c r="D12" s="8" t="inlineStr">
        <is>
          <t>https://signal.nfx.com/investors/kimmy-scotti</t>
        </is>
      </c>
      <c r="E12" s="7" t="inlineStr">
        <is>
          <t>2026-07-27</t>
        </is>
      </c>
    </row>
    <row r="13">
      <c r="A13" s="7" t="inlineStr">
        <is>
          <t>GV (Google Ventures)</t>
        </is>
      </c>
      <c r="B13" s="8" t="inlineStr">
        <is>
          <t>Yeshwant co-leads GV life sciences</t>
        </is>
      </c>
      <c r="C13" s="7" t="inlineStr">
        <is>
          <t>Firm website</t>
        </is>
      </c>
      <c r="D13" s="8" t="inlineStr">
        <is>
          <t>https://www.gv.com/team/krishna-yeshwant</t>
        </is>
      </c>
      <c r="E13" s="7" t="inlineStr">
        <is>
          <t>2026-07-27</t>
        </is>
      </c>
    </row>
    <row r="14">
      <c r="A14" s="7" t="inlineStr">
        <is>
          <t>Breyer Capital</t>
        </is>
      </c>
      <c r="B14" s="8" t="inlineStr">
        <is>
          <t>Cheatham hired by Breyer to lead HC/LS (Apr 2025)</t>
        </is>
      </c>
      <c r="C14" s="7" t="inlineStr">
        <is>
          <t>Forbes</t>
        </is>
      </c>
      <c r="D14" s="8" t="inlineStr">
        <is>
          <t>https://www.forbes.com/sites/sindhyavalloppillil/2025/04/24/billionaire-vc-jim-breyer-taps-morgan-cheatham-to-drive-the-future-of-healthcare-and-life-sciences/</t>
        </is>
      </c>
      <c r="E14" s="7" t="inlineStr">
        <is>
          <t>2026-07-27</t>
        </is>
      </c>
    </row>
    <row r="15">
      <c r="A15" s="7" t="inlineStr">
        <is>
          <t>Obvious Ventures</t>
        </is>
      </c>
      <c r="B15" s="8" t="inlineStr">
        <is>
          <t>Fund V $360M Jan 2026; check band</t>
        </is>
      </c>
      <c r="C15" s="7" t="inlineStr">
        <is>
          <t>Firm website</t>
        </is>
      </c>
      <c r="D15" s="8" t="inlineStr">
        <is>
          <t>https://obvious.com/team/james-joaquin/</t>
        </is>
      </c>
      <c r="E15" s="7" t="inlineStr">
        <is>
          <t>2026-07-27</t>
        </is>
      </c>
    </row>
    <row r="16">
      <c r="A16" s="7" t="inlineStr">
        <is>
          <t>Zetta Venture Partners</t>
        </is>
      </c>
      <c r="B16" s="8" t="inlineStr">
        <is>
          <t>AI-first thesis; VideaHealth backing</t>
        </is>
      </c>
      <c r="C16" s="7" t="inlineStr">
        <is>
          <t>Zetta / Caplight</t>
        </is>
      </c>
      <c r="D16" s="8" t="inlineStr">
        <is>
          <t>https://www.caplight.com/investor/zettavp</t>
        </is>
      </c>
      <c r="E16" s="7" t="inlineStr">
        <is>
          <t>2026-07-27</t>
        </is>
      </c>
    </row>
    <row r="17">
      <c r="A17" s="7" t="inlineStr">
        <is>
          <t>Two Sigma Ventures</t>
        </is>
      </c>
      <c r="B17" s="8" t="inlineStr">
        <is>
          <t>Data-science thesis; healthcare line; insitro</t>
        </is>
      </c>
      <c r="C17" s="7" t="inlineStr">
        <is>
          <t>Firm website</t>
        </is>
      </c>
      <c r="D17" s="8" t="inlineStr">
        <is>
          <t>https://twosigmaventures.com/our-focus/</t>
        </is>
      </c>
      <c r="E17" s="7" t="inlineStr">
        <is>
          <t>2026-07-27</t>
        </is>
      </c>
    </row>
    <row r="18">
      <c r="A18" s="7" t="inlineStr">
        <is>
          <t>Bessemer Venture Partners</t>
        </is>
      </c>
      <c r="B18" s="8" t="inlineStr">
        <is>
          <t>BVP Healthcare AI Roadmap</t>
        </is>
      </c>
      <c r="C18" s="7" t="inlineStr">
        <is>
          <t>BVP Atlas</t>
        </is>
      </c>
      <c r="D18" s="8" t="inlineStr">
        <is>
          <t>https://www.bvp.com/atlas/roadmap-healthcare-ai</t>
        </is>
      </c>
      <c r="E18" s="7" t="inlineStr">
        <is>
          <t>2026-07-27</t>
        </is>
      </c>
    </row>
    <row r="19">
      <c r="A19" s="7" t="inlineStr">
        <is>
          <t>Amplify Partners</t>
        </is>
      </c>
      <c r="B19" s="8" t="inlineStr">
        <is>
          <t>Catanzaro GP; ML/data portfolio</t>
        </is>
      </c>
      <c r="C19" s="7" t="inlineStr">
        <is>
          <t>Firm website</t>
        </is>
      </c>
      <c r="D19" s="8" t="inlineStr">
        <is>
          <t>https://www.amplifypartners.com/team/sarah-catanzaro</t>
        </is>
      </c>
      <c r="E19" s="7" t="inlineStr">
        <is>
          <t>2026-07-27</t>
        </is>
      </c>
    </row>
    <row r="20">
      <c r="A20" s="7" t="inlineStr">
        <is>
          <t>Conviction</t>
        </is>
      </c>
      <c r="B20" s="8" t="inlineStr">
        <is>
          <t>Fund II ~$230M Jan 2025; leads; $1M-$25M checks</t>
        </is>
      </c>
      <c r="C20" s="7" t="inlineStr">
        <is>
          <t>Forbes</t>
        </is>
      </c>
      <c r="D20" s="8" t="inlineStr">
        <is>
          <t>https://www.forbes.com/sites/alexkonrad/2025/01/31/inside-venture-capital-great-reshuffling/</t>
        </is>
      </c>
      <c r="E20" s="7" t="inlineStr">
        <is>
          <t>2026-09-30</t>
        </is>
      </c>
    </row>
    <row r="21">
      <c r="A21" s="7" t="inlineStr">
        <is>
          <t>Conviction</t>
        </is>
      </c>
      <c r="B21" s="8" t="inlineStr">
        <is>
          <t>Applied/vertical-AI thesis names biology; OpenEvidence health holding</t>
        </is>
      </c>
      <c r="C21" s="7" t="inlineStr">
        <is>
          <t>Conviction / Forbes</t>
        </is>
      </c>
      <c r="D21" s="8" t="inlineStr">
        <is>
          <t>https://saranormous.substack.com/p/launching-with-conviction</t>
        </is>
      </c>
      <c r="E21" s="7" t="inlineStr">
        <is>
          <t>2026-09-30</t>
        </is>
      </c>
    </row>
    <row r="22">
      <c r="A22" s="7" t="inlineStr">
        <is>
          <t>Radical Ventures</t>
        </is>
      </c>
      <c r="B22" s="8" t="inlineStr">
        <is>
          <t>Fund sizes and AUM</t>
        </is>
      </c>
      <c r="C22" s="7" t="inlineStr">
        <is>
          <t>BetaKit</t>
        </is>
      </c>
      <c r="D22" s="8" t="inlineStr">
        <is>
          <t>https://betakit.com/radical-ventures-holds-650-million-usd-final-close-for-new-early-stage-ai-fund/</t>
        </is>
      </c>
      <c r="E22" s="7" t="inlineStr">
        <is>
          <t>2026-09-30</t>
        </is>
      </c>
    </row>
    <row r="23">
      <c r="A23" s="7" t="inlineStr">
        <is>
          <t>Radical Ventures</t>
        </is>
      </c>
      <c r="B23" s="8" t="inlineStr">
        <is>
          <t>AI in Sciences thesis; Unlearn.AI holding</t>
        </is>
      </c>
      <c r="C23" s="7" t="inlineStr">
        <is>
          <t>Radical Ventures</t>
        </is>
      </c>
      <c r="D23" s="8" t="inlineStr">
        <is>
          <t>https://radical.vc/investing-in-the-exponential-ai-in-sciences/</t>
        </is>
      </c>
      <c r="E23" s="7" t="inlineStr">
        <is>
          <t>2026-09-30</t>
        </is>
      </c>
    </row>
    <row r="24">
      <c r="A24" s="7" t="inlineStr">
        <is>
          <t>Basis Set Ventures</t>
        </is>
      </c>
      <c r="B24" s="8" t="inlineStr">
        <is>
          <t>Fund IV $250M Jan 2026; $2-3M seed checks</t>
        </is>
      </c>
      <c r="C24" s="7" t="inlineStr">
        <is>
          <t>Wikipedia / f4.fund</t>
        </is>
      </c>
      <c r="D24" s="8" t="inlineStr">
        <is>
          <t>https://en.wikipedia.org/wiki/Basis_Set_Ventures</t>
        </is>
      </c>
      <c r="E24" s="7" t="inlineStr">
        <is>
          <t>2026-09-30</t>
        </is>
      </c>
    </row>
    <row r="25">
      <c r="A25" s="7" t="inlineStr">
        <is>
          <t>Basis Set Ventures</t>
        </is>
      </c>
      <c r="B25" s="8" t="inlineStr">
        <is>
          <t>Life-science/healthcare sectors and holdings</t>
        </is>
      </c>
      <c r="C25" s="7" t="inlineStr">
        <is>
          <t>Firm website</t>
        </is>
      </c>
      <c r="D25" s="8" t="inlineStr">
        <is>
          <t>https://www.basisset.com/portfolio</t>
        </is>
      </c>
      <c r="E25" s="7" t="inlineStr">
        <is>
          <t>2026-09-30</t>
        </is>
      </c>
    </row>
    <row r="26">
      <c r="A26" s="7" t="inlineStr">
        <is>
          <t>Catalio Capital</t>
        </is>
      </c>
      <c r="B26" s="8" t="inlineStr">
        <is>
          <t>Nexus Fund IV &gt;$400M Jul 2025</t>
        </is>
      </c>
      <c r="C26" s="7" t="inlineStr">
        <is>
          <t>BusinessWire</t>
        </is>
      </c>
      <c r="D26" s="8" t="inlineStr">
        <is>
          <t>https://www.businesswire.com/news/home/20250701360026/en/</t>
        </is>
      </c>
      <c r="E26" s="7" t="inlineStr">
        <is>
          <t>2026-07-27</t>
        </is>
      </c>
    </row>
    <row r="27">
      <c r="A27" s="7" t="inlineStr">
        <is>
          <t>5AM Ventures</t>
        </is>
      </c>
      <c r="B27" s="8" t="inlineStr">
        <is>
          <t>5AM is a therapeutics biotech VC</t>
        </is>
      </c>
      <c r="C27" s="7" t="inlineStr">
        <is>
          <t>Firm website</t>
        </is>
      </c>
      <c r="D27" s="8" t="inlineStr">
        <is>
          <t>https://5amventures.com/team/</t>
        </is>
      </c>
      <c r="E27" s="7" t="inlineStr">
        <is>
          <t>2026-07-27</t>
        </is>
      </c>
    </row>
    <row r="28">
      <c r="A28" s="7" t="inlineStr">
        <is>
          <t>Sanofi Ventures</t>
        </is>
      </c>
      <c r="B28" s="8" t="inlineStr">
        <is>
          <t>+$625M Sep 2025, ~$1.4B AUM; digital-health/AI vertical</t>
        </is>
      </c>
      <c r="C28" s="7" t="inlineStr">
        <is>
          <t>BioSpace</t>
        </is>
      </c>
      <c r="D28" s="8" t="inlineStr">
        <is>
          <t>https://www.biospace.com/press-releases/press-release-sanofi-commits-an-additional-625-million-to-sanofi-ventures-to-accelerate-investment-in-biotech-and-digital-health-innovation</t>
        </is>
      </c>
      <c r="E28" s="7" t="inlineStr">
        <is>
          <t>2026-09-30</t>
        </is>
      </c>
    </row>
    <row r="29">
      <c r="A29" s="7" t="inlineStr">
        <is>
          <t>MSD Global Health Innovation Fund (GHIF)</t>
        </is>
      </c>
      <c r="B29" s="8" t="inlineStr">
        <is>
          <t>IDEA Studios 2024; digital-health/data-science mandate</t>
        </is>
      </c>
      <c r="C29" s="7" t="inlineStr">
        <is>
          <t>MSD</t>
        </is>
      </c>
      <c r="D29" s="8" t="inlineStr">
        <is>
          <t>https://www.msd.com/news/msd-launches-idea-studios-to-fuel-health-care-innovation/</t>
        </is>
      </c>
      <c r="E29" s="7" t="inlineStr">
        <is>
          <t>2026-09-30</t>
        </is>
      </c>
    </row>
    <row r="30">
      <c r="A30" s="7" t="inlineStr">
        <is>
          <t>Danaher Ventures</t>
        </is>
      </c>
      <c r="B30" s="8" t="inlineStr">
        <is>
          <t>Innovaccer partnership Jan 2025; Scopio Jul 2025</t>
        </is>
      </c>
      <c r="C30" s="7" t="inlineStr">
        <is>
          <t>PRNewswire / Caplight</t>
        </is>
      </c>
      <c r="D30" s="8" t="inlineStr">
        <is>
          <t>https://www.prnewswire.com/news-releases/danaher-announces-investment-partnership-in-innovaccer-inc-302347452.html</t>
        </is>
      </c>
      <c r="E30" s="7" t="inlineStr">
        <is>
          <t>2026-09-30</t>
        </is>
      </c>
    </row>
    <row r="31">
      <c r="A31" s="7" t="inlineStr">
        <is>
          <t>Thermo Fisher Strategic Capital</t>
        </is>
      </c>
      <c r="B31" s="8" t="inlineStr">
        <is>
          <t>Strategic Capital team; CytoReason backing</t>
        </is>
      </c>
      <c r="C31" s="7" t="inlineStr">
        <is>
          <t>Global Venturing</t>
        </is>
      </c>
      <c r="D31" s="8" t="inlineStr">
        <is>
          <t>https://globalventuring.com/corporate/people/thermo-fisher-scientific-brings-massey-onboard/</t>
        </is>
      </c>
      <c r="E31" s="7" t="inlineStr">
        <is>
          <t>2026-09-30</t>
        </is>
      </c>
    </row>
    <row r="32">
      <c r="A32" s="7" t="inlineStr">
        <is>
          <t>UPMC Enterprises</t>
        </is>
      </c>
      <c r="B32" s="8" t="inlineStr">
        <is>
          <t>Led Carta Healthcare Series B1 (AI clinical data)</t>
        </is>
      </c>
      <c r="C32" s="7" t="inlineStr">
        <is>
          <t>UPMC Enterprises</t>
        </is>
      </c>
      <c r="D32" s="8" t="inlineStr">
        <is>
          <t>https://enterprises.upmc.com/resources/insights/upmc-enterprises-leads-investment-round-in-carta-healthcare-to-advance-ai-powered-clinical-data-management/</t>
        </is>
      </c>
      <c r="E32" s="7" t="inlineStr">
        <is>
          <t>2026-09-30</t>
        </is>
      </c>
    </row>
    <row r="33">
      <c r="A33" s="7" t="inlineStr">
        <is>
          <t>Osage University Partners (OUP)</t>
        </is>
      </c>
      <c r="B33" s="8" t="inlineStr">
        <is>
          <t>Fund IV, ~$800M AUM, university-IP mandate</t>
        </is>
      </c>
      <c r="C33" s="7" t="inlineStr">
        <is>
          <t>Crunchbase News</t>
        </is>
      </c>
      <c r="D33" s="8" t="inlineStr">
        <is>
          <t>https://news.crunchbase.com/venture/osage-university-partners-raises-third-fund-for-university-research-spinouts/</t>
        </is>
      </c>
      <c r="E33" s="7" t="inlineStr">
        <is>
          <t>2026-09-30</t>
        </is>
      </c>
    </row>
    <row r="34">
      <c r="A34" s="7" t="inlineStr">
        <is>
          <t>The Engine Ventures</t>
        </is>
      </c>
      <c r="B34" s="8" t="inlineStr">
        <is>
          <t>Fund III $398M Jun 2024</t>
        </is>
      </c>
      <c r="C34" s="7" t="inlineStr">
        <is>
          <t>Forbes</t>
        </is>
      </c>
      <c r="D34" s="8" t="inlineStr">
        <is>
          <t>https://www.forbes.com/sites/alexknapp/2024/06/18/mit-spinout-the-engine-ventures-raises-new-400-million-fund-to-tackle-techs-toughest-problems/</t>
        </is>
      </c>
      <c r="E34" s="7" t="inlineStr">
        <is>
          <t>2026-09-30</t>
        </is>
      </c>
    </row>
    <row r="35">
      <c r="A35" s="7" t="inlineStr">
        <is>
          <t>Alexandria Venture Investments</t>
        </is>
      </c>
      <c r="B35" s="8" t="inlineStr">
        <is>
          <t>~$2.7B across 32 new companies in 2024</t>
        </is>
      </c>
      <c r="C35" s="7" t="inlineStr">
        <is>
          <t>Tracxn</t>
        </is>
      </c>
      <c r="D35" s="8" t="inlineStr">
        <is>
          <t>https://tracxn.com/d/venture-capital/alexandria-venture-investments/</t>
        </is>
      </c>
      <c r="E35" s="7" t="inlineStr">
        <is>
          <t>2026-09-30</t>
        </is>
      </c>
    </row>
    <row r="36">
      <c r="A36" s="7" t="inlineStr">
        <is>
          <t>Mayo Clinic Ventures / Platform</t>
        </is>
      </c>
      <c r="B36" s="8" t="inlineStr">
        <is>
          <t>Platform_Insights 2025; Platform_Accelerate AI cohorts</t>
        </is>
      </c>
      <c r="C36" s="7" t="inlineStr">
        <is>
          <t>Mayo Clinic</t>
        </is>
      </c>
      <c r="D36" s="8" t="inlineStr">
        <is>
          <t>https://newsnetwork.mayoclinic.org/discussion/mayo-clinic-launches-mayo-clinic-platform_insights-to-advance-digital-innovation-and-quality-improvement-across-healthcare/</t>
        </is>
      </c>
      <c r="E36" s="7" t="inlineStr">
        <is>
          <t>2026-09-30</t>
        </is>
      </c>
    </row>
    <row r="37">
      <c r="A37" s="7" t="inlineStr">
        <is>
          <t>Artis Ventures (AV)</t>
        </is>
      </c>
      <c r="B37" s="8" t="inlineStr">
        <is>
          <t>TechBio II $200M; leads health-AI rounds (Cartography B Oct 2025)</t>
        </is>
      </c>
      <c r="C37" s="7" t="inlineStr">
        <is>
          <t>Dry Powder / av.co</t>
        </is>
      </c>
      <c r="D37" s="8" t="inlineStr">
        <is>
          <t>https://drypowdercapital.beehiiv.com/p/artis-ventures-closes-200m-fund</t>
        </is>
      </c>
      <c r="E37" s="7" t="inlineStr">
        <is>
          <t>2026-10-05</t>
        </is>
      </c>
    </row>
    <row r="38">
      <c r="A38" s="7" t="inlineStr">
        <is>
          <t>2048 Ventures</t>
        </is>
      </c>
      <c r="B38" s="8" t="inlineStr">
        <is>
          <t>Fund III $82M Jan 2026; leads seed; Vertical AI + Health + Bio</t>
        </is>
      </c>
      <c r="C38" s="7" t="inlineStr">
        <is>
          <t>2048.vc / buildmvpfast</t>
        </is>
      </c>
      <c r="D38" s="8" t="inlineStr">
        <is>
          <t>https://www.buildmvpfast.com/blog/2048vc-pre-seed-fast-track-vertical-ai-startup-funding-2026</t>
        </is>
      </c>
      <c r="E38" s="7" t="inlineStr">
        <is>
          <t>2026-10-05</t>
        </is>
      </c>
    </row>
    <row r="39">
      <c r="A39" s="7" t="inlineStr">
        <is>
          <t>Modi Ventures</t>
        </is>
      </c>
      <c r="B39" s="8" t="inlineStr">
        <is>
          <t>Fund II $88M 2025; AI x biology; Brainomix Feb 2026, RBL Aug 2025</t>
        </is>
      </c>
      <c r="C39" s="7" t="inlineStr">
        <is>
          <t>VCwire</t>
        </is>
      </c>
      <c r="D39" s="8" t="inlineStr">
        <is>
          <t>https://vcwire.tech/2025/07/18/modi-ventures-closes-second-fund-at-88m/</t>
        </is>
      </c>
      <c r="E39" s="7" t="inlineStr">
        <is>
          <t>2026-10-05</t>
        </is>
      </c>
    </row>
    <row r="40">
      <c r="A40" s="7" t="inlineStr">
        <is>
          <t>Coho Deeptech</t>
        </is>
      </c>
      <c r="B40" s="8" t="inlineStr">
        <is>
          <t>AI + bio/health pre-seed/seed; Runware Dec 2025</t>
        </is>
      </c>
      <c r="C40" s="7" t="inlineStr">
        <is>
          <t>Coho / Tracxn</t>
        </is>
      </c>
      <c r="D40" s="8" t="inlineStr">
        <is>
          <t>https://www.cohovc.com/</t>
        </is>
      </c>
      <c r="E40" s="7" t="inlineStr">
        <is>
          <t>2026-10-05</t>
        </is>
      </c>
    </row>
    <row r="41">
      <c r="A41" s="7" t="inlineStr">
        <is>
          <t>First Star Ventures</t>
        </is>
      </c>
      <c r="B41" s="8" t="inlineStr">
        <is>
          <t>Fund III Jun 2025; computational biotech; Extellis $6.8M Seed Nov 2025</t>
        </is>
      </c>
      <c r="C41" s="7" t="inlineStr">
        <is>
          <t>VC Sheet / StartupIntros</t>
        </is>
      </c>
      <c r="D41" s="8" t="inlineStr">
        <is>
          <t>https://www.vcsheet.com/fund/first-star-ventures</t>
        </is>
      </c>
      <c r="E41" s="7" t="inlineStr">
        <is>
          <t>2026-10-05</t>
        </is>
      </c>
    </row>
    <row r="42">
      <c r="A42" s="7" t="inlineStr">
        <is>
          <t>Asset Management Ventures (AMV)</t>
        </is>
      </c>
      <c r="B42" s="8" t="inlineStr">
        <is>
          <t>Fund V $150M; Autonomize Series A Jun 2025</t>
        </is>
      </c>
      <c r="C42" s="7" t="inlineStr">
        <is>
          <t>Asset Management Ventures / Tracxn</t>
        </is>
      </c>
      <c r="D42" s="8" t="inlineStr">
        <is>
          <t>https://assetman.com/</t>
        </is>
      </c>
      <c r="E42" s="7" t="inlineStr">
        <is>
          <t>2026-10-05</t>
        </is>
      </c>
    </row>
    <row r="43">
      <c r="A43" s="7" t="inlineStr">
        <is>
          <t>1984 Ventures</t>
        </is>
      </c>
      <c r="B43" s="8" t="inlineStr">
        <is>
          <t>Thesis: vertical AI, dev tools &amp; infra, digital health</t>
        </is>
      </c>
      <c r="C43" s="7" t="inlineStr">
        <is>
          <t>1984.vc</t>
        </is>
      </c>
      <c r="D43" s="8" t="inlineStr">
        <is>
          <t>https://1984.vc/</t>
        </is>
      </c>
      <c r="E43" s="7" t="inlineStr">
        <is>
          <t>2026-10-05</t>
        </is>
      </c>
    </row>
    <row r="44">
      <c r="A44" s="7" t="inlineStr">
        <is>
          <t>Starbloom Capital</t>
        </is>
      </c>
      <c r="B44" s="8" t="inlineStr">
        <is>
          <t>Led Adaptyx $14M seed Oct 2025</t>
        </is>
      </c>
      <c r="C44" s="7" t="inlineStr">
        <is>
          <t>Starbloom / Crunchbase</t>
        </is>
      </c>
      <c r="D44" s="8" t="inlineStr">
        <is>
          <t>https://www.starbloom.capital/</t>
        </is>
      </c>
      <c r="E44" s="7" t="inlineStr">
        <is>
          <t>2026-10-05</t>
        </is>
      </c>
    </row>
    <row r="45">
      <c r="A45" s="7" t="inlineStr">
        <is>
          <t>Qiming Venture Partners USA</t>
        </is>
      </c>
      <c r="B45" s="8" t="inlineStr">
        <is>
          <t>US Healthcare Fund III $260M 2022</t>
        </is>
      </c>
      <c r="C45" s="7" t="inlineStr">
        <is>
          <t>BusinessWire / FierceBiotech</t>
        </is>
      </c>
      <c r="D45" s="8" t="inlineStr">
        <is>
          <t>https://www.businesswire.com/news/home/20220602005291/en/</t>
        </is>
      </c>
      <c r="E45" s="7" t="inlineStr">
        <is>
          <t>2026-10-05</t>
        </is>
      </c>
    </row>
    <row r="46">
      <c r="A46" s="7" t="inlineStr">
        <is>
          <t>Amasia</t>
        </is>
      </c>
      <c r="B46" s="8" t="inlineStr">
        <is>
          <t>EvolutionIQ Series C Aug 2024; Topanga Series A Feb 2025</t>
        </is>
      </c>
      <c r="C46" s="7" t="inlineStr">
        <is>
          <t>Amasia / VC Sheet</t>
        </is>
      </c>
      <c r="D46" s="8" t="inlineStr">
        <is>
          <t>https://www.amasia.vc/team</t>
        </is>
      </c>
      <c r="E46" s="7" t="inlineStr">
        <is>
          <t>2026-10-05</t>
        </is>
      </c>
    </row>
    <row r="47">
      <c r="A47" s="7" t="inlineStr">
        <is>
          <t>Zone 2 Ventures</t>
        </is>
      </c>
      <c r="B47" s="8" t="inlineStr">
        <is>
          <t>Fund I opened Dec 2024; AI + healthcare mandate</t>
        </is>
      </c>
      <c r="C47" s="7" t="inlineStr">
        <is>
          <t>PitchBook / Dealroom</t>
        </is>
      </c>
      <c r="D47" s="8" t="inlineStr">
        <is>
          <t>https://app.dealroom.co/companies/zone_ii_ventures</t>
        </is>
      </c>
      <c r="E47" s="7" t="inlineStr">
        <is>
          <t>2026-10-05</t>
        </is>
      </c>
    </row>
    <row r="48">
      <c r="A48" s="7" t="inlineStr">
        <is>
          <t>Lilly Ventures</t>
        </is>
      </c>
      <c r="B48" s="8" t="inlineStr">
        <is>
          <t>Backs Insilico Medicine (AI drug discovery), basys.ai</t>
        </is>
      </c>
      <c r="C48" s="7" t="inlineStr">
        <is>
          <t>CB Insights</t>
        </is>
      </c>
      <c r="D48" s="8" t="inlineStr">
        <is>
          <t>https://www.cbinsights.com/investor/lilly-ventures</t>
        </is>
      </c>
      <c r="E48" s="7" t="inlineStr">
        <is>
          <t>2026-10-05</t>
        </is>
      </c>
    </row>
    <row r="49">
      <c r="A49" s="7" t="inlineStr">
        <is>
          <t>Mubadala Capital</t>
        </is>
      </c>
      <c r="B49" s="8" t="inlineStr">
        <is>
          <t>~$400M ventures fund; Series B+ growth deals (Waymo, HERE)</t>
        </is>
      </c>
      <c r="C49" s="7" t="inlineStr">
        <is>
          <t>Mubadala Capital / VC Sheet</t>
        </is>
      </c>
      <c r="D49" s="8" t="inlineStr">
        <is>
          <t>https://www.mubadalacapital.ae/ventures</t>
        </is>
      </c>
      <c r="E49" s="7" t="inlineStr">
        <is>
          <t>2026-10-05</t>
        </is>
      </c>
    </row>
    <row r="50">
      <c r="A50" s="7" t="inlineStr">
        <is>
          <t>Neovate Capital Partners</t>
        </is>
      </c>
      <c r="B50" s="8" t="inlineStr">
        <is>
          <t>Medtech &amp; biopharma (devices/therapeutics) focus</t>
        </is>
      </c>
      <c r="C50" s="7" t="inlineStr">
        <is>
          <t>Dealroom / MNVC</t>
        </is>
      </c>
      <c r="D50" s="8" t="inlineStr">
        <is>
          <t>https://app.dealroom.co/companies/neovate_capital_partners</t>
        </is>
      </c>
      <c r="E50" s="7" t="inlineStr">
        <is>
          <t>2026-10-05</t>
        </is>
      </c>
    </row>
    <row r="51">
      <c r="A51" s="7" t="inlineStr">
        <is>
          <t>Epidarex Capital</t>
        </is>
      </c>
      <c r="B51" s="8" t="inlineStr">
        <is>
          <t>Fund IV first close $145M Jan 2026 (therapeutics)</t>
        </is>
      </c>
      <c r="C51" s="7" t="inlineStr">
        <is>
          <t>GlobeNewswire</t>
        </is>
      </c>
      <c r="D51" s="8" t="inlineStr">
        <is>
          <t>https://www.globenewswire.com/news-release/2026/01/27/3226083/0/en/epidarex-capital-announces-first-close-of-fund-iv-securing-145-million.html</t>
        </is>
      </c>
      <c r="E51" s="7" t="inlineStr">
        <is>
          <t>2026-10-05</t>
        </is>
      </c>
    </row>
    <row r="52">
      <c r="A52" s="7" t="inlineStr">
        <is>
          <t>Duke Capital Partners</t>
        </is>
      </c>
      <c r="B52" s="8" t="inlineStr">
        <is>
          <t>Duke-affiliated early-stage; $500K-$2M</t>
        </is>
      </c>
      <c r="C52" s="7" t="inlineStr">
        <is>
          <t>Duke Capital Partners</t>
        </is>
      </c>
      <c r="D52" s="8" t="inlineStr">
        <is>
          <t>https://dukecapitalpartners.duke.edu/about/</t>
        </is>
      </c>
      <c r="E52" s="7" t="inlineStr">
        <is>
          <t>2026-10-05</t>
        </is>
      </c>
    </row>
    <row r="53">
      <c r="A53" s="7" t="inlineStr">
        <is>
          <t>Lifespan Vision Ventures</t>
        </is>
      </c>
      <c r="B53" s="8" t="inlineStr">
        <is>
          <t>Co-led Sift Biosciences $3.7M pre-seed</t>
        </is>
      </c>
      <c r="C53" s="7" t="inlineStr">
        <is>
          <t>Yahoo Finance</t>
        </is>
      </c>
      <c r="D53" s="8" t="inlineStr">
        <is>
          <t>https://finance.yahoo.com/news/lifespan-vision-ventures-co-leads-170000649.html</t>
        </is>
      </c>
      <c r="E53" s="7" t="inlineStr">
        <is>
          <t>2026-10-05</t>
        </is>
      </c>
    </row>
    <row r="54">
      <c r="A54" s="7" t="inlineStr">
        <is>
          <t>Criteria Bio Ventures</t>
        </is>
      </c>
      <c r="B54" s="8" t="inlineStr">
        <is>
          <t>Led Adaptam Therapeutics EUR3M (therapeutics)</t>
        </is>
      </c>
      <c r="C54" s="7" t="inlineStr">
        <is>
          <t>Capital Riesgo</t>
        </is>
      </c>
      <c r="D54" s="8" t="inlineStr">
        <is>
          <t>https://capital-riesgo.es/en/articles/criteria-bio-ventures-leads-a-3-million-investment-in-adaptam-therapeutics/</t>
        </is>
      </c>
      <c r="E54" s="7" t="inlineStr">
        <is>
          <t>2026-10-05</t>
        </is>
      </c>
    </row>
    <row r="55">
      <c r="A55" s="7" t="inlineStr">
        <is>
          <t>NYSERDA</t>
        </is>
      </c>
      <c r="B55" s="8" t="inlineStr">
        <is>
          <t>NY State cleantech grants/co-investment</t>
        </is>
      </c>
      <c r="C55" s="7" t="inlineStr">
        <is>
          <t>NYSERDA</t>
        </is>
      </c>
      <c r="D55" s="8" t="inlineStr">
        <is>
          <t>https://www.nyserda.ny.gov/All-Programs/Innovation-at-NYSERDA</t>
        </is>
      </c>
      <c r="E55" s="7" t="inlineStr">
        <is>
          <t>2026-10-05</t>
        </is>
      </c>
    </row>
    <row r="56">
      <c r="A56" s="7" t="inlineStr">
        <is>
          <t>Perceptive Xontogeny Ventures</t>
        </is>
      </c>
      <c r="B56" s="8" t="inlineStr">
        <is>
          <t>Fund II $515M May 2021 (therapeutics)</t>
        </is>
      </c>
      <c r="C56" s="7" t="inlineStr">
        <is>
          <t>Xontogeny</t>
        </is>
      </c>
      <c r="D56" s="8" t="inlineStr">
        <is>
          <t>https://xontogeny.com/news/perceptive-advisors-closes-515-million-perceptive-xontogeny-venture-fund-ii-lp/</t>
        </is>
      </c>
      <c r="E56" s="7" t="inlineStr">
        <is>
          <t>2026-10-05</t>
        </is>
      </c>
    </row>
    <row r="57">
      <c r="A57" s="7" t="inlineStr">
        <is>
          <t>Abingworth</t>
        </is>
      </c>
      <c r="B57" s="8" t="inlineStr">
        <is>
          <t>Bioventures 8 ~$466M (therapeutics)</t>
        </is>
      </c>
      <c r="C57" s="7" t="inlineStr">
        <is>
          <t>Abingworth</t>
        </is>
      </c>
      <c r="D57" s="8" t="inlineStr">
        <is>
          <t>https://www.abingworth.com/about</t>
        </is>
      </c>
      <c r="E57" s="7" t="inlineStr">
        <is>
          <t>2026-10-05</t>
        </is>
      </c>
    </row>
    <row r="58">
      <c r="A58" s="7" t="inlineStr">
        <is>
          <t>3M Ventures</t>
        </is>
      </c>
      <c r="B58" s="8" t="inlineStr">
        <is>
          <t>Industrial/climate/materials CVC</t>
        </is>
      </c>
      <c r="C58" s="7" t="inlineStr">
        <is>
          <t>3M Ventures</t>
        </is>
      </c>
      <c r="D58" s="8" t="inlineStr">
        <is>
          <t>https://www.3m.com/3M/en_US/about-3m/ventures/</t>
        </is>
      </c>
      <c r="E58" s="7" t="inlineStr">
        <is>
          <t>2026-10-05</t>
        </is>
      </c>
    </row>
    <row r="59">
      <c r="A59" s="7" t="inlineStr">
        <is>
          <t>At One Ventures</t>
        </is>
      </c>
      <c r="B59" s="8" t="inlineStr">
        <is>
          <t>~$525M climate/nature deep-tech AUM</t>
        </is>
      </c>
      <c r="C59" s="7" t="inlineStr">
        <is>
          <t>ImpactAlpha</t>
        </is>
      </c>
      <c r="D59" s="8" t="inlineStr">
        <is>
          <t>https://impactalpha.com/at-one-ventures-closes-375-million-deeptech-climate-fund/</t>
        </is>
      </c>
      <c r="E59" s="7" t="inlineStr">
        <is>
          <t>2026-10-05</t>
        </is>
      </c>
    </row>
    <row r="60">
      <c r="A60" s="7" t="inlineStr">
        <is>
          <t>Oncology Ventures</t>
        </is>
      </c>
      <c r="B60" s="8" t="inlineStr">
        <is>
          <t>$30M cancer-focused seed fund; non-drug mandate</t>
        </is>
      </c>
      <c r="C60" s="7" t="inlineStr">
        <is>
          <t>HC Innovation Group</t>
        </is>
      </c>
      <c r="D60" s="8" t="inlineStr">
        <is>
          <t>https://www.hcinnovationgroup.com/finance-revenue-cycle/news/55136523/oncology-focused-venture-capital-firm-closes-30m-fund</t>
        </is>
      </c>
      <c r="E60" s="7" t="inlineStr">
        <is>
          <t>2026-10-05</t>
        </is>
      </c>
    </row>
    <row r="61">
      <c r="A61" s="7" t="inlineStr">
        <is>
          <t>Oncology Ventures</t>
        </is>
      </c>
      <c r="B61" s="8" t="inlineStr">
        <is>
          <t>Ben Freeberg MP, CONNECTED contact</t>
        </is>
      </c>
      <c r="C61" s="7" t="inlineStr">
        <is>
          <t>HubSpot CRM</t>
        </is>
      </c>
      <c r="D61" s="8" t="inlineStr">
        <is>
          <t>HubSpot company 330285638360 / contact 508812255971</t>
        </is>
      </c>
      <c r="E61" s="7" t="inlineStr">
        <is>
          <t>2026-10-05</t>
        </is>
      </c>
    </row>
    <row r="62">
      <c r="A62" s="7" t="inlineStr">
        <is>
          <t>Silversmith Capital Partners</t>
        </is>
      </c>
      <c r="B62" s="8" t="inlineStr">
        <is>
          <t>Fund V $1.7B Jul 2025; $20-125M checks; healthcare-IT book</t>
        </is>
      </c>
      <c r="C62" s="7" t="inlineStr">
        <is>
          <t>Silversmith</t>
        </is>
      </c>
      <c r="D62" s="8" t="inlineStr">
        <is>
          <t>https://www.silversmith.com/news/silversmith-capital-partners-closes-1-7-billion-fifth-fund</t>
        </is>
      </c>
      <c r="E62" s="7" t="inlineStr">
        <is>
          <t>2026-10-05</t>
        </is>
      </c>
    </row>
    <row r="63">
      <c r="A63" s="7" t="inlineStr">
        <is>
          <t>Care Equity</t>
        </is>
      </c>
      <c r="B63" s="8" t="inlineStr">
        <is>
          <t>Care Equity II $302M Oct 2022; life-science PE</t>
        </is>
      </c>
      <c r="C63" s="7" t="inlineStr">
        <is>
          <t>PitchBook</t>
        </is>
      </c>
      <c r="D63" s="8" t="inlineStr">
        <is>
          <t>https://pitchbook.com/profiles/investor/458093-80</t>
        </is>
      </c>
      <c r="E63" s="7" t="inlineStr">
        <is>
          <t>2026-10-05</t>
        </is>
      </c>
    </row>
    <row r="64">
      <c r="A64" s="7" t="inlineStr">
        <is>
          <t>Care Equity</t>
        </is>
      </c>
      <c r="B64" s="8" t="inlineStr">
        <is>
          <t>Sofia Etlin CRM contact</t>
        </is>
      </c>
      <c r="C64" s="7" t="inlineStr">
        <is>
          <t>HubSpot CRM</t>
        </is>
      </c>
      <c r="D64" s="8" t="inlineStr">
        <is>
          <t>HubSpot company 348445133500 / contact 558213895894</t>
        </is>
      </c>
      <c r="E64" s="7" t="inlineStr">
        <is>
          <t>2026-10-05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2026-10-05T05:28:33Z</dcterms:created>
  <dcterms:modified xmlns:dcterms="http://purl.org/dc/terms/" xmlns:xsi="http://www.w3.org/2001/XMLSchema-instance" xsi:type="dcterms:W3CDTF">2026-10-05T05:28:33Z</dcterms:modified>
</cp:coreProperties>
</file>