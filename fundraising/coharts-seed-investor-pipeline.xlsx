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ipeline" sheetId="2" state="visible" r:id="rId2"/>
    <sheet name="Weights" sheetId="3" state="visible" r:id="rId3"/>
    <sheet name="Sources" sheetId="4" state="visible" r:id="rId4"/>
  </sheets>
  <definedNames>
    <definedName name="_xlnm._FilterDatabase" localSheetId="1" hidden="1">'Pipeline'!$A$1:$AD$31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30</t>
        </is>
      </c>
    </row>
    <row r="5">
      <c r="A5" s="2" t="inlineStr">
        <is>
          <t>Round parameters</t>
        </is>
      </c>
      <c r="B5" s="3" t="inlineStr">
        <is>
          <t>Institutional Seed; target pre-money $25M to $35M (confirm target raise and lead vs participant). Coharts: An Applied AI company, IaaS (never SaaS). Two products: iViz (AI data-analysis workbench, self-serve/PLG) and Foresight (clinical trial simulation, Simulate Success Before Patient One). Traction/proof: Tempus proof-of-concept partnership; Synthon pilot; Foresight validated against real clinical trials both retrospectively and prospectively (including LEAP and TDM1). Angel round closed Aug 2026 on a legacy pre-money SAFE at a $17.5M cap. Most check sizes are Unknown pending PitchBook; personal emails are inferred unless marked Verified. None of these firms are in the HubSpot pipeline (CRM holds pharma/CRO/biotech BD accounts, not investors). CONFLICT FLAGGED: Radical Ventures holds Unlearn.AI (direct Foresight competitor).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>84</v>
      </c>
      <c r="X2" s="10" t="str">
        <f>IF(W2&gt;=Weights!$B$12,"A",IF(W2&gt;=Weights!$B$13,"B","C"))</f>
        <v>A</v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Route via an a16z bio+health portfolio founder; no named node confirmed.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2</v>
      </c>
      <c r="V3" s="9" t="n">
        <v>5</v>
      </c>
      <c r="W3" s="10">
        <f>MAX(0,ROUND(Q3/5*Weights!$B$3+R3/5*Weights!$B$4+S3/5*Weights!$B$5+T3/5*Weights!$B$6+U3/5*Weights!$B$7+V3/5*Weights!$B$8-L3*Weights!$B$9,0))</f>
        <v>80</v>
      </c>
      <c r="X3" s="10" t="str">
        <f>IF(W3&gt;=Weights!$B$12,"A",IF(W3&gt;=Weights!$B$13,"B","C"))</f>
        <v>A</v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Find a portfolio-founder intro to Yoo (software lens) or Rughani (AI-health).</t>
        </is>
      </c>
      <c r="AB3" s="7" t="inlineStr">
        <is>
          <t>2026-09-30</t>
        </is>
      </c>
      <c r="AC3" s="8" t="inlineStr">
        <is>
          <t>https://a16z.com/infinite-healthcare-whats-it-worth/; https://a16z.com/author/julie-yoo/</t>
        </is>
      </c>
      <c r="AD3" s="8" t="inlineStr">
        <is>
          <t>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>74</v>
      </c>
      <c r="X4" s="10" t="str">
        <f>IF(W4&gt;=Weights!$B$12,"A",IF(W4&gt;=Weights!$B$13,"B","C"))</f>
        <v>A</v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LinkedIn or a Lux portfolio founder; no named node confirmed.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2</v>
      </c>
      <c r="V5" s="9" t="n">
        <v>4</v>
      </c>
      <c r="W5" s="10">
        <f>MAX(0,ROUND(Q5/5*Weights!$B$3+R5/5*Weights!$B$4+S5/5*Weights!$B$5+T5/5*Weights!$B$6+U5/5*Weights!$B$7+V5/5*Weights!$B$8-L5*Weights!$B$9,0))</f>
        <v>78</v>
      </c>
      <c r="X5" s="10" t="str">
        <f>IF(W5&gt;=Weights!$B$12,"A",IF(W5&gt;=Weights!$B$13,"B","C"))</f>
        <v>A</v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Verify a recent Shakir health/AI deal; find intro.</t>
        </is>
      </c>
      <c r="AB5" s="7" t="inlineStr">
        <is>
          <t>2026-09-30</t>
        </is>
      </c>
      <c r="AC5" s="8" t="inlineStr">
        <is>
          <t>https://www.luxcapital.com/people; https://www.linkedin.com/in/deenashakir</t>
        </is>
      </c>
      <c r="AD5" s="8" t="inlineStr">
        <is>
          <t>Adam Goulburn is at Dimension, NOT Lux.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>72</v>
      </c>
      <c r="X6" s="10" t="str">
        <f>IF(W6&gt;=Weights!$B$12,"A",IF(W6&gt;=Weights!$B$13,"B","C"))</f>
        <v>A</v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>72</v>
      </c>
      <c r="X7" s="10" t="str">
        <f>IF(W7&gt;=Weights!$B$12,"A",IF(W7&gt;=Weights!$B$13,"B","C"))</f>
        <v>A</v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>70</v>
      </c>
      <c r="X8" s="10" t="str">
        <f>IF(W8&gt;=Weights!$B$12,"A",IF(W8&gt;=Weights!$B$13,"B","C"))</f>
        <v>A</v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>68</v>
      </c>
      <c r="X9" s="10" t="str">
        <f>IF(W9&gt;=Weights!$B$12,"A",IF(W9&gt;=Weights!$B$13,"B","C"))</f>
        <v>B</v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>64</v>
      </c>
      <c r="X10" s="10" t="str">
        <f>IF(W10&gt;=Weights!$B$12,"A",IF(W10&gt;=Weights!$B$13,"B","C"))</f>
        <v>B</v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>66</v>
      </c>
      <c r="X11" s="10" t="str">
        <f>IF(W11&gt;=Weights!$B$12,"A",IF(W11&gt;=Weights!$B$13,"B","C"))</f>
        <v>B</v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>58</v>
      </c>
      <c r="X12" s="10" t="str">
        <f>IF(W12&gt;=Weights!$B$12,"A",IF(W12&gt;=Weights!$B$13,"B","C"))</f>
        <v>B</v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3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>66</v>
      </c>
      <c r="X13" s="10" t="str">
        <f>IF(W13&gt;=Weights!$B$12,"A",IF(W13&gt;=Weights!$B$13,"B","C"))</f>
        <v>B</v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>64</v>
      </c>
      <c r="X14" s="10" t="str">
        <f>IF(W14&gt;=Weights!$B$12,"A",IF(W14&gt;=Weights!$B$13,"B","C"))</f>
        <v>B</v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>64</v>
      </c>
      <c r="X15" s="10" t="str">
        <f>IF(W15&gt;=Weights!$B$12,"A",IF(W15&gt;=Weights!$B$13,"B","C"))</f>
        <v>B</v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Kraus co-hosts healthcare content; engagement warm-up. No named node.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2</v>
      </c>
      <c r="V16" s="9" t="n">
        <v>4</v>
      </c>
      <c r="W16" s="10">
        <f>MAX(0,ROUND(Q16/5*Weights!$B$3+R16/5*Weights!$B$4+S16/5*Weights!$B$5+T16/5*Weights!$B$6+U16/5*Weights!$B$7+V16/5*Weights!$B$8-L16*Weights!$B$9,0))</f>
        <v>64</v>
      </c>
      <c r="X16" s="10" t="str">
        <f>IF(W16&gt;=Weights!$B$12,"A",IF(W16&gt;=Weights!$B$13,"B","C"))</f>
        <v>B</v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Verify email;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>58</v>
      </c>
      <c r="X17" s="10" t="str">
        <f>IF(W17&gt;=Weights!$B$12,"A",IF(W17&gt;=Weights!$B$13,"B","C"))</f>
        <v>B</v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Fund II, ~$230M, closed Jan 2025 (~$1B AUM reported 2026)</t>
        </is>
      </c>
      <c r="E18" s="8" t="inlineStr">
        <is>
          <t>Seed/first-round leads; applied and vertical AI</t>
        </is>
      </c>
      <c r="F18" s="7" t="inlineStr">
        <is>
          <t>$1M to $25M, often first investor</t>
        </is>
      </c>
      <c r="G18" s="7" t="inlineStr">
        <is>
          <t>Yes</t>
        </is>
      </c>
      <c r="H18" s="7" t="inlineStr">
        <is>
          <t>No</t>
        </is>
      </c>
      <c r="I18" s="8" t="inlineStr">
        <is>
          <t>Health is a named sector: OpenEvidence (clinical decision support, reported ~$12B valuation Jan 2026). Thesis explicitly names biology as a domain needing specialized data.</t>
        </is>
      </c>
      <c r="J18" s="8" t="inlineStr">
        <is>
          <t>Pure applied/vertical-AI thesis (names biology, materials, physical simulation). AI-native portfolio: Harvey, Sierra, Cognition, Mistral, Baseten. iViz workbench plus Mona/Merlin agents map to the thesis.</t>
        </is>
      </c>
      <c r="K18" s="8" t="inlineStr">
        <is>
          <t>OpenEvidence (clinical Q&amp;A/decision support, not a Foresight or iViz competitor).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 (alt: Mike Vernal, GP, infra/PLG for iViz)</t>
        </is>
      </c>
      <c r="P18" s="8" t="inlineStr">
        <is>
          <t>Cold with an open inbound process; no named node.</t>
        </is>
      </c>
      <c r="Q18" s="9" t="n">
        <v>3</v>
      </c>
      <c r="R18" s="9" t="n">
        <v>5</v>
      </c>
      <c r="S18" s="9" t="n">
        <v>5</v>
      </c>
      <c r="T18" s="9" t="n">
        <v>4</v>
      </c>
      <c r="U18" s="9" t="n">
        <v>1</v>
      </c>
      <c r="V18" s="9" t="n">
        <v>5</v>
      </c>
      <c r="W18" s="10">
        <f>MAX(0,ROUND(Q18/5*Weights!$B$3+R18/5*Weights!$B$4+S18/5*Weights!$B$5+T18/5*Weights!$B$6+U18/5*Weights!$B$7+V18/5*Weights!$B$8-L18*Weights!$B$9,0))</f>
        <v>78</v>
      </c>
      <c r="X18" s="10" t="str">
        <f>IF(W18&gt;=Weights!$B$12,"A",IF(W18&gt;=Weights!$B$13,"B","C"))</f>
        <v>A</v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Lead with the Applied-AI + AI-for-science story; confirm personal email.</t>
        </is>
      </c>
      <c r="AB18" s="7" t="inlineStr">
        <is>
          <t>2026-09-30</t>
        </is>
      </c>
      <c r="AC18" s="8" t="inlineStr">
        <is>
          <t>https://www.forbes.com/sites/alexkonrad/2025/01/31/inside-venture-capital-great-reshuffling/; https://saranormous.substack.com/p/launching-with-conviction</t>
        </is>
      </c>
      <c r="AD18" s="8" t="inlineStr">
        <is>
          <t>Verified. Only functional inbox embed@conviction.com is confirmed; sarah@conviction.com / mike@conviction.com are inferred, LOW confidence. Mike Vernal (ex-Sequoia, PLG/infra) is a strong alt contact for the iViz self-serve angle.</t>
        </is>
      </c>
    </row>
    <row r="19">
      <c r="A19" s="7" t="inlineStr">
        <is>
          <t>Radical Ventures</t>
        </is>
      </c>
      <c r="B19" s="7" t="inlineStr">
        <is>
          <t>AI-first fund (AI in Sciences thesis)</t>
        </is>
      </c>
      <c r="C19" s="7" t="inlineStr">
        <is>
          <t>Toronto / San Francisco</t>
        </is>
      </c>
      <c r="D19" s="8" t="inlineStr">
        <is>
          <t>$650M early-stage AI fund (final close ~2024); $800M growth (Aug 2024); &gt;$1B first close Breakouts fund (2025); ~$1.8B AUM</t>
        </is>
      </c>
      <c r="E19" s="8" t="inlineStr">
        <is>
          <t>Leads early-stage AI (seed to Series A)</t>
        </is>
      </c>
      <c r="F19" s="7" t="inlineStr">
        <is>
          <t>Unknown</t>
        </is>
      </c>
      <c r="G19" s="7" t="inlineStr">
        <is>
          <t>Yes</t>
        </is>
      </c>
      <c r="H19" s="7" t="inlineStr">
        <is>
          <t>No</t>
        </is>
      </c>
      <c r="I19" s="8" t="inlineStr">
        <is>
          <t>Formal 'AI in Sciences' thesis (generative AI for biology/chemistry/physics). Holdings: Genesis Therapeutics, Nabla Bio, Aspect Biosystems, Attuned Intelligence (healthcare AI). Led Attuned $13M seed (2025).</t>
        </is>
      </c>
      <c r="J19" s="8" t="inlineStr">
        <is>
          <t>AI-first fund with a published AI-in-sciences thesis and an AI-native portfolio that follows it. Strong fit for the Applied AI company narrative.</t>
        </is>
      </c>
      <c r="K19" s="8" t="inlineStr">
        <is>
          <t>Unlearn.AI: AI digital-twin control arms for clinical trials, a DIRECT Foresight competitor.</t>
        </is>
      </c>
      <c r="L19" s="9" t="n">
        <v>1</v>
      </c>
      <c r="M19" s="8" t="inlineStr">
        <is>
          <t>Unlearn.AI (digital-twin / in-silico clinical trials) competes head-on with Foresight.</t>
        </is>
      </c>
      <c r="N19" s="7" t="inlineStr">
        <is>
          <t>Sanjana Basu</t>
        </is>
      </c>
      <c r="O19" s="7" t="inlineStr">
        <is>
          <t>Partner (leads AI in Sciences; alt: Jordan Jacobs, Co-Founder/MP)</t>
        </is>
      </c>
      <c r="P19" s="8" t="inlineStr">
        <is>
          <t>Cold with an open inbound process; no named node.</t>
        </is>
      </c>
      <c r="Q19" s="9" t="n">
        <v>5</v>
      </c>
      <c r="R19" s="9" t="n">
        <v>5</v>
      </c>
      <c r="S19" s="9" t="n">
        <v>4</v>
      </c>
      <c r="T19" s="9" t="n">
        <v>0</v>
      </c>
      <c r="U19" s="9" t="n">
        <v>1</v>
      </c>
      <c r="V19" s="9" t="n">
        <v>5</v>
      </c>
      <c r="W19" s="10">
        <f>MAX(0,ROUND(Q19/5*Weights!$B$3+R19/5*Weights!$B$4+S19/5*Weights!$B$5+T19/5*Weights!$B$6+U19/5*Weights!$B$7+V19/5*Weights!$B$8-L19*Weights!$B$9,0))</f>
        <v>53</v>
      </c>
      <c r="X19" s="10" t="str">
        <f>IF(W19&gt;=Weights!$B$12,"A",IF(W19&gt;=Weights!$B$13,"B","C"))</f>
        <v>B</v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CONFLICT (Unlearn.AI): angle on iViz / applied-AI only, or deprioritize for Foresight.</t>
        </is>
      </c>
      <c r="AB19" s="7" t="inlineStr">
        <is>
          <t>2026-09-30</t>
        </is>
      </c>
      <c r="AC19" s="8" t="inlineStr">
        <is>
          <t>https://radical.vc/investing-in-the-exponential-ai-in-sciences/; https://radical.vc/team/sanjana-basu/</t>
        </is>
      </c>
      <c r="AD19" s="8" t="inlineStr">
        <is>
          <t>Verified. Conflict penalty applied for Unlearn.AI. Absent the conflict this scores ~78 (Tier A); with it, ~53. Email inferred: sanjana@radical.vc (domain @radical.vc confirmed; convention assumed).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Fund IV, $250M, closed Jan 2026 (Fund III $185M 2024)</t>
        </is>
      </c>
      <c r="E20" s="8" t="inlineStr">
        <is>
          <t>Seed, leads; vertical AI, infrastructure, automated workflows</t>
        </is>
      </c>
      <c r="F20" s="7" t="inlineStr">
        <is>
          <t>$2M to $3M seed (pre-seed ~$250K to $500K)</t>
        </is>
      </c>
      <c r="G20" s="7" t="inlineStr">
        <is>
          <t>Yes</t>
        </is>
      </c>
      <c r="H20" s="7" t="inlineStr">
        <is>
          <t>No</t>
        </is>
      </c>
      <c r="I20" s="8" t="inlineStr">
        <is>
          <t>Sectors explicitly include Biotech &amp; Life Sciences and Healthcare. Holdings: Cusp (CuspAI, molecular/materials foundation models), Neion (medicine), Basata (healthcare admin AI), Seen Health.</t>
        </is>
      </c>
      <c r="J20" s="8" t="inlineStr">
        <is>
          <t>AI-native since 2017; vertical-AI, infrastructure, and automated-workflow thesis. Strong fit for iViz's data-analysis/workflow-automation angle.</t>
        </is>
      </c>
      <c r="K20" s="8" t="inlineStr">
        <is>
          <t>Cusp (molecular/materials discovery, adjacent not competing); no clinical-trial-simulation or notebook/BI holding found.</t>
        </is>
      </c>
      <c r="L20" s="9" t="n">
        <v>0</v>
      </c>
      <c r="M20" s="8" t="inlineStr">
        <is>
          <t>Unknown</t>
        </is>
      </c>
      <c r="N20" s="7" t="inlineStr">
        <is>
          <t>Lan Xuezhao</t>
        </is>
      </c>
      <c r="O20" s="7" t="inlineStr">
        <is>
          <t>Founder and Managing Partner (alt: Chang Xu, Partner)</t>
        </is>
      </c>
      <c r="P20" s="8" t="inlineStr">
        <is>
          <t>Cold with an open inbound process; no named node.</t>
        </is>
      </c>
      <c r="Q20" s="9" t="n">
        <v>3</v>
      </c>
      <c r="R20" s="9" t="n">
        <v>5</v>
      </c>
      <c r="S20" s="9" t="n">
        <v>5</v>
      </c>
      <c r="T20" s="9" t="n">
        <v>3</v>
      </c>
      <c r="U20" s="9" t="n">
        <v>1</v>
      </c>
      <c r="V20" s="9" t="n">
        <v>5</v>
      </c>
      <c r="W20" s="10">
        <f>MAX(0,ROUND(Q20/5*Weights!$B$3+R20/5*Weights!$B$4+S20/5*Weights!$B$5+T20/5*Weights!$B$6+U20/5*Weights!$B$7+V20/5*Weights!$B$8-L20*Weights!$B$9,0))</f>
        <v>76</v>
      </c>
      <c r="X20" s="10" t="str">
        <f>IF(W20&gt;=Weights!$B$12,"A",IF(W20&gt;=Weights!$B$13,"B","C"))</f>
        <v>A</v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Lead with iViz (AI data workbench); confirm basisset.com vs basisset.ventures domain before emailing.</t>
        </is>
      </c>
      <c r="AB20" s="7" t="inlineStr">
        <is>
          <t>2026-09-30</t>
        </is>
      </c>
      <c r="AC20" s="8" t="inlineStr">
        <is>
          <t>https://en.wikipedia.org/wiki/Basis_Set_Ventures; https://www.basisset.com/portfolio</t>
        </is>
      </c>
      <c r="AD20" s="8" t="inlineStr">
        <is>
          <t>Verified. Email lan@basisset.com is Verified (pattern firstname@basisset.com); some databases list basisset.ventures, confirm first. $2-3M seed check fits as co-lead/participant more than a full seed lead.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>44</v>
      </c>
      <c r="X21" s="10" t="str">
        <f>IF(W21&gt;=Weights!$B$12,"A",IF(W21&gt;=Weights!$B$13,"B","C"))</f>
        <v>C</v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>24</v>
      </c>
      <c r="X22" s="10" t="str">
        <f>IF(W22&gt;=Weights!$B$12,"A",IF(W22&gt;=Weights!$B$13,"B","C"))</f>
        <v>C</v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  <row r="23">
      <c r="A23" s="7" t="inlineStr">
        <is>
          <t>Sanofi Ventures</t>
        </is>
      </c>
      <c r="B23" s="7" t="inlineStr">
        <is>
          <t>Pharma corporate venture arm</t>
        </is>
      </c>
      <c r="C23" s="7" t="inlineStr">
        <is>
          <t>Cambridge, MA</t>
        </is>
      </c>
      <c r="D23" s="8" t="inlineStr">
        <is>
          <t>Evergreen; +$625M committed Sep 2025 (~$1.4B AUM)</t>
        </is>
      </c>
      <c r="E23" s="8" t="inlineStr">
        <is>
          <t>Early-stage; leads/co-leads biotech and digital health</t>
        </is>
      </c>
      <c r="F23" s="7" t="inlineStr">
        <is>
          <t>Unknown</t>
        </is>
      </c>
      <c r="G23" s="7" t="inlineStr">
        <is>
          <t>Selective</t>
        </is>
      </c>
      <c r="H23" s="7" t="inlineStr">
        <is>
          <t>No</t>
        </is>
      </c>
      <c r="I23" s="8" t="inlineStr">
        <is>
          <t>Deep biotech book (Atalanta, Glycomine, Draig 2025; 3 exits 2024 ~$3.25B). Explicit digital-health and data-science vertical.</t>
        </is>
      </c>
      <c r="J23" s="8" t="inlineStr">
        <is>
          <t>The $625M top-up (Sep 2025) was framed around AI; digital-health/data-science is a named vertical.</t>
        </is>
      </c>
      <c r="K23" s="8" t="inlineStr">
        <is>
          <t>None competing directly with Foresight/iViz identified.</t>
        </is>
      </c>
      <c r="L23" s="9" t="n">
        <v>0</v>
      </c>
      <c r="M23" s="8" t="inlineStr">
        <is>
          <t>Unknown</t>
        </is>
      </c>
      <c r="N23" s="7" t="inlineStr">
        <is>
          <t>Jason P. Hafler</t>
        </is>
      </c>
      <c r="O23" s="7" t="inlineStr">
        <is>
          <t>Managing Director (early-stage biotech + AI/digital health)</t>
        </is>
      </c>
      <c r="P23" s="8" t="inlineStr">
        <is>
          <t>Cold; no named node. Strategic: also a pharma buyer/POC path.</t>
        </is>
      </c>
      <c r="Q23" s="9" t="n">
        <v>5</v>
      </c>
      <c r="R23" s="9" t="n">
        <v>3</v>
      </c>
      <c r="S23" s="9" t="n">
        <v>3</v>
      </c>
      <c r="T23" s="9" t="n">
        <v>0</v>
      </c>
      <c r="U23" s="9" t="n">
        <v>1</v>
      </c>
      <c r="V23" s="9" t="n">
        <v>5</v>
      </c>
      <c r="W23" s="10">
        <f>MAX(0,ROUND(Q23/5*Weights!$B$3+R23/5*Weights!$B$4+S23/5*Weights!$B$5+T23/5*Weights!$B$6+U23/5*Weights!$B$7+V23/5*Weights!$B$8-L23*Weights!$B$9,0))</f>
        <v>66</v>
      </c>
      <c r="X23" s="10" t="str">
        <f>IF(W23&gt;=Weights!$B$12,"A",IF(W23&gt;=Weights!$B$13,"B","C"))</f>
        <v>B</v>
      </c>
      <c r="Y23" s="11" t="inlineStr">
        <is>
          <t>Not contacted</t>
        </is>
      </c>
      <c r="Z23" s="7" t="inlineStr">
        <is>
          <t>Nate</t>
        </is>
      </c>
      <c r="AA23" s="8" t="inlineStr">
        <is>
          <t>Approach as strategic (financial + POC); verify email.</t>
        </is>
      </c>
      <c r="AB23" s="7" t="inlineStr">
        <is>
          <t>2026-09-30</t>
        </is>
      </c>
      <c r="AC23" s="8" t="inlineStr">
        <is>
          <t>https://www.biospace.com/press-releases/press-release-sanofi-commits-an-additional-625-million-to-sanofi-ventures-to-accelerate-investment-in-biotech-and-digital-health-innovation; https://www.zoominfo.com/p/Jason-Hafler</t>
        </is>
      </c>
      <c r="AD23" s="8" t="inlineStr">
        <is>
          <t>CVC. Email inferred: jason.hafler@sanofi.com (ZoomInfo confirms j***@sanofi.com; Sanofi standard first.last@sanofi.com).</t>
        </is>
      </c>
    </row>
    <row r="24">
      <c r="A24" s="7" t="inlineStr">
        <is>
          <t>MSD Global Health Innovation Fund (GHIF)</t>
        </is>
      </c>
      <c r="B24" s="7" t="inlineStr">
        <is>
          <t>Pharma corporate venture arm</t>
        </is>
      </c>
      <c r="C24" s="7" t="inlineStr">
        <is>
          <t>Boston / Kenilworth, NJ</t>
        </is>
      </c>
      <c r="D24" s="8" t="inlineStr">
        <is>
          <t>Evergreen, ~$500M AUM; IDEA Studios (2024, ~$38M early-stage)</t>
        </is>
      </c>
      <c r="E24" s="8" t="inlineStr">
        <is>
          <t>Primarily GROWTH; IDEA Studios adds early engagement</t>
        </is>
      </c>
      <c r="F24" s="7" t="inlineStr">
        <is>
          <t>Unknown</t>
        </is>
      </c>
      <c r="G24" s="7" t="inlineStr">
        <is>
          <t>No (growth-stage)</t>
        </is>
      </c>
      <c r="H24" s="7" t="inlineStr">
        <is>
          <t>No</t>
        </is>
      </c>
      <c r="I24" s="8" t="inlineStr">
        <is>
          <t>Invests in digital-health and data-science companies that optimize biopharma operations, directly Coharts-adjacent.</t>
        </is>
      </c>
      <c r="J24" s="8" t="inlineStr">
        <is>
          <t>AI + healthcare-data is an intensifying thesis; digital-health/data-science mandate.</t>
        </is>
      </c>
      <c r="K24" s="8" t="inlineStr">
        <is>
          <t>None competing directly with Foresight/iViz identified.</t>
        </is>
      </c>
      <c r="L24" s="9" t="n">
        <v>0</v>
      </c>
      <c r="M24" s="8" t="inlineStr">
        <is>
          <t>Unknown</t>
        </is>
      </c>
      <c r="N24" s="7" t="inlineStr">
        <is>
          <t>Joel Krikston</t>
        </is>
      </c>
      <c r="O24" s="7" t="inlineStr">
        <is>
          <t>Managing Director, Venture Investments</t>
        </is>
      </c>
      <c r="P24" s="8" t="inlineStr">
        <is>
          <t>Cold; no named node. Strategic: pharma buyer/POC path.</t>
        </is>
      </c>
      <c r="Q24" s="9" t="n">
        <v>5</v>
      </c>
      <c r="R24" s="9" t="n">
        <v>3</v>
      </c>
      <c r="S24" s="9" t="n">
        <v>2</v>
      </c>
      <c r="T24" s="9" t="n">
        <v>0</v>
      </c>
      <c r="U24" s="9" t="n">
        <v>1</v>
      </c>
      <c r="V24" s="9" t="n">
        <v>4</v>
      </c>
      <c r="W24" s="10">
        <f>MAX(0,ROUND(Q24/5*Weights!$B$3+R24/5*Weights!$B$4+S24/5*Weights!$B$5+T24/5*Weights!$B$6+U24/5*Weights!$B$7+V24/5*Weights!$B$8-L24*Weights!$B$9,0))</f>
        <v>60</v>
      </c>
      <c r="X24" s="10" t="str">
        <f>IF(W24&gt;=Weights!$B$12,"A",IF(W24&gt;=Weights!$B$13,"B","C"))</f>
        <v>B</v>
      </c>
      <c r="Y24" s="11" t="inlineStr">
        <is>
          <t>Not contacted</t>
        </is>
      </c>
      <c r="Z24" s="7" t="inlineStr">
        <is>
          <t>Nate</t>
        </is>
      </c>
      <c r="AA24" s="8" t="inlineStr">
        <is>
          <t>Treat as strategic/later-round + POC, not a seed lead; verify email domain.</t>
        </is>
      </c>
      <c r="AB24" s="7" t="inlineStr">
        <is>
          <t>2026-09-30</t>
        </is>
      </c>
      <c r="AC24" s="8" t="inlineStr">
        <is>
          <t>https://www.msd.com/news/msd-launches-idea-studios-to-fuel-health-care-innovation/; https://www.crunchbase.com/organization/merck-global-health-innovation-fund</t>
        </is>
      </c>
      <c r="AD24" s="8" t="inlineStr">
        <is>
          <t>Growth-stage CVC, unlikely to lead a seed. Email inferred: joel.krikston@merck.com (or @msdghifund.com, unresolved).</t>
        </is>
      </c>
    </row>
    <row r="25">
      <c r="A25" s="7" t="inlineStr">
        <is>
          <t>Danaher Ventures</t>
        </is>
      </c>
      <c r="B25" s="7" t="inlineStr">
        <is>
          <t>Life-science instruments corporate venture arm</t>
        </is>
      </c>
      <c r="C25" s="7" t="inlineStr">
        <is>
          <t>Washington, DC</t>
        </is>
      </c>
      <c r="D25" s="8" t="inlineStr">
        <is>
          <t>Corporate CVC (founded 2017)</t>
        </is>
      </c>
      <c r="E25" s="8" t="inlineStr">
        <is>
          <t>Strategic early-stage co-investor; rarely sole seed lead</t>
        </is>
      </c>
      <c r="F25" s="7" t="inlineStr">
        <is>
          <t>Unknown</t>
        </is>
      </c>
      <c r="G25" s="7" t="inlineStr">
        <is>
          <t>Rarely (co-invests)</t>
        </is>
      </c>
      <c r="H25" s="7" t="inlineStr">
        <is>
          <t>No</t>
        </is>
      </c>
      <c r="I25" s="8" t="inlineStr">
        <is>
          <t>Biotech, diagnostics, life sciences, and data sciences mandate. Innovaccer partnership (Jan 2025); Scopio Labs, AI diagnostics (Jul 2025).</t>
        </is>
      </c>
      <c r="J25" s="8" t="inlineStr">
        <is>
          <t>Healthcare-AI deals (Innovaccer, Scopio); data-sciences is a named focus.</t>
        </is>
      </c>
      <c r="K25" s="8" t="inlineStr">
        <is>
          <t>None competing directly with Foresight/iViz identified.</t>
        </is>
      </c>
      <c r="L25" s="9" t="n">
        <v>0</v>
      </c>
      <c r="M25" s="8" t="inlineStr">
        <is>
          <t>Unknown</t>
        </is>
      </c>
      <c r="N25" s="7" t="inlineStr">
        <is>
          <t>Murali Venkatesan</t>
        </is>
      </c>
      <c r="O25" s="7" t="inlineStr">
        <is>
          <t>VP and Head of Danaher Ventures (Americas &amp; Europe)</t>
        </is>
      </c>
      <c r="P25" s="8" t="inlineStr">
        <is>
          <t>Cold; no named node. Strategic: instruments/data ecosystem.</t>
        </is>
      </c>
      <c r="Q25" s="9" t="n">
        <v>5</v>
      </c>
      <c r="R25" s="9" t="n">
        <v>3</v>
      </c>
      <c r="S25" s="9" t="n">
        <v>2</v>
      </c>
      <c r="T25" s="9" t="n">
        <v>0</v>
      </c>
      <c r="U25" s="9" t="n">
        <v>1</v>
      </c>
      <c r="V25" s="9" t="n">
        <v>4</v>
      </c>
      <c r="W25" s="10">
        <f>MAX(0,ROUND(Q25/5*Weights!$B$3+R25/5*Weights!$B$4+S25/5*Weights!$B$5+T25/5*Weights!$B$6+U25/5*Weights!$B$7+V25/5*Weights!$B$8-L25*Weights!$B$9,0))</f>
        <v>60</v>
      </c>
      <c r="X25" s="10" t="str">
        <f>IF(W25&gt;=Weights!$B$12,"A",IF(W25&gt;=Weights!$B$13,"B","C"))</f>
        <v>B</v>
      </c>
      <c r="Y25" s="11" t="inlineStr">
        <is>
          <t>Not contacted</t>
        </is>
      </c>
      <c r="Z25" s="7" t="inlineStr">
        <is>
          <t>Nate</t>
        </is>
      </c>
      <c r="AA25" s="8" t="inlineStr">
        <is>
          <t>Approach as strategic co-investor; verify email.</t>
        </is>
      </c>
      <c r="AB25" s="7" t="inlineStr">
        <is>
          <t>2026-09-30</t>
        </is>
      </c>
      <c r="AC25" s="8" t="inlineStr">
        <is>
          <t>https://www.danaher.com/danaher-ventures; https://www.prnewswire.com/news-releases/danaher-announces-investment-partnership-in-innovaccer-inc-302347452.html</t>
        </is>
      </c>
      <c r="AD25" s="8" t="inlineStr">
        <is>
          <t>CVC, strategic co-investor. Email inferred: murali.venkatesan@danaher.com (first.last@danaher.com).</t>
        </is>
      </c>
    </row>
    <row r="26">
      <c r="A26" s="7" t="inlineStr">
        <is>
          <t>Thermo Fisher Strategic Capital</t>
        </is>
      </c>
      <c r="B26" s="7" t="inlineStr">
        <is>
          <t>Life-science instruments corporate venture arm</t>
        </is>
      </c>
      <c r="C26" s="7" t="inlineStr">
        <is>
          <t>Waltham, MA</t>
        </is>
      </c>
      <c r="D26" s="8" t="inlineStr">
        <is>
          <t>Corporate strategic-capital team</t>
        </is>
      </c>
      <c r="E26" s="8" t="inlineStr">
        <is>
          <t>Strategic co-investor; not a lead</t>
        </is>
      </c>
      <c r="F26" s="7" t="inlineStr">
        <is>
          <t>Unknown</t>
        </is>
      </c>
      <c r="G26" s="7" t="inlineStr">
        <is>
          <t>No (co-invests)</t>
        </is>
      </c>
      <c r="H26" s="7" t="inlineStr">
        <is>
          <t>No</t>
        </is>
      </c>
      <c r="I26" s="8" t="inlineStr">
        <is>
          <t>Life sciences, diagnostics, devices, disease modeling. Backed CytoReason (computational biology, $80M Series B) and miDiagnostics.</t>
        </is>
      </c>
      <c r="J26" s="8" t="inlineStr">
        <is>
          <t>Disease-modeling / computational-biology exposure (CytoReason) adjacent to Coharts' simulation story.</t>
        </is>
      </c>
      <c r="K26" s="8" t="inlineStr">
        <is>
          <t>CytoReason (disease modeling for targets/biomarkers, adjacent not competing).</t>
        </is>
      </c>
      <c r="L26" s="9" t="n">
        <v>0</v>
      </c>
      <c r="M26" s="8" t="inlineStr">
        <is>
          <t>Unknown</t>
        </is>
      </c>
      <c r="N26" s="7" t="inlineStr">
        <is>
          <t>Bhooshi De Silva</t>
        </is>
      </c>
      <c r="O26" s="7" t="inlineStr">
        <is>
          <t>Head of Strategic Capital (alt: Carson Massey, Associate Director)</t>
        </is>
      </c>
      <c r="P26" s="8" t="inlineStr">
        <is>
          <t>Cold; no named node. Strategic: instruments ecosystem.</t>
        </is>
      </c>
      <c r="Q26" s="9" t="n">
        <v>5</v>
      </c>
      <c r="R26" s="9" t="n">
        <v>3</v>
      </c>
      <c r="S26" s="9" t="n">
        <v>2</v>
      </c>
      <c r="T26" s="9" t="n">
        <v>0</v>
      </c>
      <c r="U26" s="9" t="n">
        <v>1</v>
      </c>
      <c r="V26" s="9" t="n">
        <v>3</v>
      </c>
      <c r="W26" s="10">
        <f>MAX(0,ROUND(Q26/5*Weights!$B$3+R26/5*Weights!$B$4+S26/5*Weights!$B$5+T26/5*Weights!$B$6+U26/5*Weights!$B$7+V26/5*Weights!$B$8-L26*Weights!$B$9,0))</f>
        <v>58</v>
      </c>
      <c r="X26" s="10" t="str">
        <f>IF(W26&gt;=Weights!$B$12,"A",IF(W26&gt;=Weights!$B$13,"B","C"))</f>
        <v>B</v>
      </c>
      <c r="Y26" s="11" t="inlineStr">
        <is>
          <t>Not contacted</t>
        </is>
      </c>
      <c r="Z26" s="7" t="inlineStr">
        <is>
          <t>Nate</t>
        </is>
      </c>
      <c r="AA26" s="8" t="inlineStr">
        <is>
          <t>Approach as strategic co-investor; verify email.</t>
        </is>
      </c>
      <c r="AB26" s="7" t="inlineStr">
        <is>
          <t>2026-09-30</t>
        </is>
      </c>
      <c r="AC26" s="8" t="inlineStr">
        <is>
          <t>https://globalventuring.com/corporate/people/thermo-fisher-scientific-brings-massey-onboard/; https://www.cbinsights.com/investor/thermo-fisher-scientific</t>
        </is>
      </c>
      <c r="AD26" s="8" t="inlineStr">
        <is>
          <t>CVC, strategic co-investor, not a lead. Email inferred: bhooshi.desilva@thermofisher.com (first.last@thermofisher.com).</t>
        </is>
      </c>
    </row>
    <row r="27">
      <c r="A27" s="7" t="inlineStr">
        <is>
          <t>UPMC Enterprises</t>
        </is>
      </c>
      <c r="B27" s="7" t="inlineStr">
        <is>
          <t>Health-system venture/commercialization arm</t>
        </is>
      </c>
      <c r="C27" s="7" t="inlineStr">
        <is>
          <t>Pittsburgh, PA</t>
        </is>
      </c>
      <c r="D27" s="8" t="inlineStr">
        <is>
          <t>$1B committed to life-sciences investing</t>
        </is>
      </c>
      <c r="E27" s="8" t="inlineStr">
        <is>
          <t>Leads rounds; digital health + translational science</t>
        </is>
      </c>
      <c r="F27" s="7" t="inlineStr">
        <is>
          <t>Unknown</t>
        </is>
      </c>
      <c r="G27" s="7" t="inlineStr">
        <is>
          <t>Yes</t>
        </is>
      </c>
      <c r="H27" s="7" t="inlineStr">
        <is>
          <t>No</t>
        </is>
      </c>
      <c r="I27" s="8" t="inlineStr">
        <is>
          <t>Led Carta Healthcare ~$18.25M Series B1 (AI clinical-data management, expanding into life sciences). Also Abridge, Astrata, Medicom.</t>
        </is>
      </c>
      <c r="J27" s="8" t="inlineStr">
        <is>
          <t>Explicit AI-powered clinical-data thesis; led an AI clinical-data round.</t>
        </is>
      </c>
      <c r="K27" s="8" t="inlineStr">
        <is>
          <t>Carta Healthcare (clinical-data abstraction expanding to life sciences, adjacent to iViz/PRISM data; watch overlap, not a notebook/BI competitor).</t>
        </is>
      </c>
      <c r="L27" s="9" t="n">
        <v>0</v>
      </c>
      <c r="M27" s="8" t="inlineStr">
        <is>
          <t>Unknown</t>
        </is>
      </c>
      <c r="N27" s="7" t="inlineStr">
        <is>
          <t>Brent Burns</t>
        </is>
      </c>
      <c r="O27" s="7" t="inlineStr">
        <is>
          <t>EVP, UPMC Enterprises (confirm investment-team deal lead)</t>
        </is>
      </c>
      <c r="P27" s="8" t="inlineStr">
        <is>
          <t>Plausible via clinical partnerships; no named node confirmed. Mission-aligned health system.</t>
        </is>
      </c>
      <c r="Q27" s="9" t="n">
        <v>5</v>
      </c>
      <c r="R27" s="9" t="n">
        <v>4</v>
      </c>
      <c r="S27" s="9" t="n">
        <v>4</v>
      </c>
      <c r="T27" s="9" t="n">
        <v>0</v>
      </c>
      <c r="U27" s="9" t="n">
        <v>2</v>
      </c>
      <c r="V27" s="9" t="n">
        <v>4</v>
      </c>
      <c r="W27" s="10">
        <f>MAX(0,ROUND(Q27/5*Weights!$B$3+R27/5*Weights!$B$4+S27/5*Weights!$B$5+T27/5*Weights!$B$6+U27/5*Weights!$B$7+V27/5*Weights!$B$8-L27*Weights!$B$9,0))</f>
        <v>74</v>
      </c>
      <c r="X27" s="10" t="str">
        <f>IF(W27&gt;=Weights!$B$12,"A",IF(W27&gt;=Weights!$B$13,"B","C"))</f>
        <v>A</v>
      </c>
      <c r="Y27" s="11" t="inlineStr">
        <is>
          <t>Not contacted</t>
        </is>
      </c>
      <c r="Z27" s="7" t="inlineStr">
        <is>
          <t>Nate</t>
        </is>
      </c>
      <c r="AA27" s="8" t="inlineStr">
        <is>
          <t>Cleanest Segment B lead-fit; identify deal-team partner + email; explore PRISM/validation data angle.</t>
        </is>
      </c>
      <c r="AB27" s="7" t="inlineStr">
        <is>
          <t>2026-09-30</t>
        </is>
      </c>
      <c r="AC27" s="8" t="inlineStr">
        <is>
          <t>https://enterprises.upmc.com/resources/insights/upmc-enterprises-leads-investment-round-in-carta-healthcare-to-advance-ai-powered-clinical-data-management/</t>
        </is>
      </c>
      <c r="AD27" s="8" t="inlineStr">
        <is>
          <t>Strongest Segment B fit (leads, AI clinical-data thesis). Email convention Unknown; do not rely.</t>
        </is>
      </c>
    </row>
    <row r="28">
      <c r="A28" s="7" t="inlineStr">
        <is>
          <t>Osage University Partners (OUP)</t>
        </is>
      </c>
      <c r="B28" s="7" t="inlineStr">
        <is>
          <t>University-spinout fund</t>
        </is>
      </c>
      <c r="C28" s="7" t="inlineStr">
        <is>
          <t>Bala Cynwyd, PA</t>
        </is>
      </c>
      <c r="D28" s="8" t="inlineStr">
        <is>
          <t>Fund IV (launched 2023); ~$800M AUM</t>
        </is>
      </c>
      <c r="E28" s="8" t="inlineStr">
        <is>
          <t>Seed to late, co-invests/follows; university-IP spinouts only</t>
        </is>
      </c>
      <c r="F28" s="7" t="inlineStr">
        <is>
          <t>Unknown</t>
        </is>
      </c>
      <c r="G28" s="7" t="inlineStr">
        <is>
          <t>Rarely (follows)</t>
        </is>
      </c>
      <c r="H28" s="7" t="inlineStr">
        <is>
          <t>No</t>
        </is>
      </c>
      <c r="I28" s="8" t="inlineStr">
        <is>
          <t>Life sciences + tech across 100+ university partnerships; 130+ portfolio, 33 IPOs. 2025 Penn/BioNTech $50M university-IP fund.</t>
        </is>
      </c>
      <c r="J28" s="8" t="inlineStr">
        <is>
          <t>Invests across software/AI, but selection is gated by university-IP origin, not thesis.</t>
        </is>
      </c>
      <c r="K28" s="8" t="inlineStr">
        <is>
          <t>None competing directly with Foresight/iViz identified.</t>
        </is>
      </c>
      <c r="L28" s="9" t="n">
        <v>0</v>
      </c>
      <c r="M28" s="8" t="inlineStr">
        <is>
          <t>Unknown</t>
        </is>
      </c>
      <c r="N28" s="7" t="inlineStr">
        <is>
          <t>Marc Singer</t>
        </is>
      </c>
      <c r="O28" s="7" t="inlineStr">
        <is>
          <t>Managing Partner (alt: Bill Harrington, MP)</t>
        </is>
      </c>
      <c r="P28" s="8" t="inlineStr">
        <is>
          <t>Cold; no named node.</t>
        </is>
      </c>
      <c r="Q28" s="9" t="n">
        <v>4</v>
      </c>
      <c r="R28" s="9" t="n">
        <v>3</v>
      </c>
      <c r="S28" s="9" t="n">
        <v>2</v>
      </c>
      <c r="T28" s="9" t="n">
        <v>0</v>
      </c>
      <c r="U28" s="9" t="n">
        <v>1</v>
      </c>
      <c r="V28" s="9" t="n">
        <v>4</v>
      </c>
      <c r="W28" s="10">
        <f>MAX(0,ROUND(Q28/5*Weights!$B$3+R28/5*Weights!$B$4+S28/5*Weights!$B$5+T28/5*Weights!$B$6+U28/5*Weights!$B$7+V28/5*Weights!$B$8-L28*Weights!$B$9,0))</f>
        <v>54</v>
      </c>
      <c r="X28" s="10" t="str">
        <f>IF(W28&gt;=Weights!$B$12,"A",IF(W28&gt;=Weights!$B$13,"B","C"))</f>
        <v>B</v>
      </c>
      <c r="Y28" s="11" t="inlineStr">
        <is>
          <t>Not contacted</t>
        </is>
      </c>
      <c r="Z28" s="7" t="inlineStr">
        <is>
          <t>Nate</t>
        </is>
      </c>
      <c r="AA28" s="8" t="inlineStr">
        <is>
          <t>HARD GATE: only if Coharts licenses university IP. Confirm eligibility before any outreach.</t>
        </is>
      </c>
      <c r="AB28" s="7" t="inlineStr">
        <is>
          <t>2026-09-30</t>
        </is>
      </c>
      <c r="AC28" s="8" t="inlineStr">
        <is>
          <t>https://news.crunchbase.com/venture/osage-university-partners-raises-third-fund-for-university-research-spinouts/</t>
        </is>
      </c>
      <c r="AD28" s="8" t="inlineStr">
        <is>
          <t>Eligibility gate: invests ONLY in startups licensing university IP, and typically co-invests. Domain @oup.vc confirmed; marc@oup.vc / msinger@oup.vc inferred.</t>
        </is>
      </c>
    </row>
    <row r="29">
      <c r="A29" s="7" t="inlineStr">
        <is>
          <t>The Engine Ventures</t>
        </is>
      </c>
      <c r="B29" s="7" t="inlineStr">
        <is>
          <t>MIT-affiliated tough-tech fund</t>
        </is>
      </c>
      <c r="C29" s="7" t="inlineStr">
        <is>
          <t>Cambridge, MA</t>
        </is>
      </c>
      <c r="D29" s="8" t="inlineStr">
        <is>
          <t>Fund III, $398M, closed Jun 2024 (&gt;$1B AUM)</t>
        </is>
      </c>
      <c r="E29" s="8" t="inlineStr">
        <is>
          <t>Pre-seed to Series B, leads; MIT/research-origin tough tech</t>
        </is>
      </c>
      <c r="F29" s="7" t="inlineStr">
        <is>
          <t>Unknown</t>
        </is>
      </c>
      <c r="G29" s="7" t="inlineStr">
        <is>
          <t>Yes</t>
        </is>
      </c>
      <c r="H29" s="7" t="inlineStr">
        <is>
          <t>No</t>
        </is>
      </c>
      <c r="I29" s="8" t="inlineStr">
        <is>
          <t>Health + bio among sectors, but oriented to hard/deep tech (labs, materials, bio-hardware).</t>
        </is>
      </c>
      <c r="J29" s="8" t="inlineStr">
        <is>
          <t>AI among sectors; origin/tough-tech preference outweighs a pure-software AI thesis.</t>
        </is>
      </c>
      <c r="K29" s="8" t="inlineStr">
        <is>
          <t>None competing directly with Foresight/iViz identified.</t>
        </is>
      </c>
      <c r="L29" s="9" t="n">
        <v>0</v>
      </c>
      <c r="M29" s="8" t="inlineStr">
        <is>
          <t>Unknown</t>
        </is>
      </c>
      <c r="N29" s="7" t="inlineStr">
        <is>
          <t>Ann DeWitt</t>
        </is>
      </c>
      <c r="O29" s="7" t="inlineStr">
        <is>
          <t>General Partner (life sciences/bio; alt: Michael Kearney, GP)</t>
        </is>
      </c>
      <c r="P29" s="8" t="inlineStr">
        <is>
          <t>Cold; no named node.</t>
        </is>
      </c>
      <c r="Q29" s="9" t="n">
        <v>3</v>
      </c>
      <c r="R29" s="9" t="n">
        <v>3</v>
      </c>
      <c r="S29" s="9" t="n">
        <v>3</v>
      </c>
      <c r="T29" s="9" t="n">
        <v>0</v>
      </c>
      <c r="U29" s="9" t="n">
        <v>1</v>
      </c>
      <c r="V29" s="9" t="n">
        <v>5</v>
      </c>
      <c r="W29" s="10">
        <f>MAX(0,ROUND(Q29/5*Weights!$B$3+R29/5*Weights!$B$4+S29/5*Weights!$B$5+T29/5*Weights!$B$6+U29/5*Weights!$B$7+V29/5*Weights!$B$8-L29*Weights!$B$9,0))</f>
        <v>54</v>
      </c>
      <c r="X29" s="10" t="str">
        <f>IF(W29&gt;=Weights!$B$12,"A",IF(W29&gt;=Weights!$B$13,"B","C"))</f>
        <v>B</v>
      </c>
      <c r="Y29" s="11" t="inlineStr">
        <is>
          <t>Not contacted</t>
        </is>
      </c>
      <c r="Z29" s="7" t="inlineStr">
        <is>
          <t>Nate</t>
        </is>
      </c>
      <c r="AA29" s="8" t="inlineStr">
        <is>
          <t>Fit gate: strongest with an MIT/research-origin or tough-tech tie. Confirm before prioritizing.</t>
        </is>
      </c>
      <c r="AB29" s="7" t="inlineStr">
        <is>
          <t>2026-09-30</t>
        </is>
      </c>
      <c r="AC29" s="8" t="inlineStr">
        <is>
          <t>https://www.forbes.com/sites/alexknapp/2024/06/18/mit-spinout-the-engine-ventures-raises-new-400-million-fund-to-tackle-techs-toughest-problems/; https://engineventures.com/about/leadership</t>
        </is>
      </c>
      <c r="AD29" s="8" t="inlineStr">
        <is>
          <t>Prefers MIT/research-institution origin, deep/hard tech; pure-software applied-AI is a softer fit. Email inferred: ann@engineventures.com (first@engineventures.com ~85%).</t>
        </is>
      </c>
    </row>
    <row r="30">
      <c r="A30" s="7" t="inlineStr">
        <is>
          <t>Alexandria Venture Investments</t>
        </is>
      </c>
      <c r="B30" s="7" t="inlineStr">
        <is>
          <t>Real-estate-affiliated life-science venture arm</t>
        </is>
      </c>
      <c r="C30" s="7" t="inlineStr">
        <is>
          <t>Pasadena, CA</t>
        </is>
      </c>
      <c r="D30" s="8" t="inlineStr">
        <is>
          <t>Venture affiliate of Alexandria Real Estate (NYSE: ARE)</t>
        </is>
      </c>
      <c r="E30" s="8" t="inlineStr">
        <is>
          <t>Seed to late, co-invests via lab-tenant ecosystem; rarely sole-leads</t>
        </is>
      </c>
      <c r="F30" s="7" t="inlineStr">
        <is>
          <t>Unknown (avg seed ~$10M)</t>
        </is>
      </c>
      <c r="G30" s="7" t="inlineStr">
        <is>
          <t>Rarely (co-invests)</t>
        </is>
      </c>
      <c r="H30" s="7" t="inlineStr">
        <is>
          <t>No</t>
        </is>
      </c>
      <c r="I30" s="8" t="inlineStr">
        <is>
          <t>Very active in biotech/diagnostics (~$2.7B, 32 new companies 2024), but wet-lab/therapeutics oriented.</t>
        </is>
      </c>
      <c r="J30" s="8" t="inlineStr">
        <is>
          <t>Limited; some AI-clinical-workflow exposure (mediaire). Thin for a software IaaS.</t>
        </is>
      </c>
      <c r="K30" s="8" t="inlineStr">
        <is>
          <t>None competing directly with Foresight/iViz identified.</t>
        </is>
      </c>
      <c r="L30" s="9" t="n">
        <v>0</v>
      </c>
      <c r="M30" s="8" t="inlineStr">
        <is>
          <t>Unknown</t>
        </is>
      </c>
      <c r="N30" s="7" t="inlineStr">
        <is>
          <t>Unknown (route via venture team, not Exec Chairman Joel Marcus)</t>
        </is>
      </c>
      <c r="O30" s="7" t="inlineStr">
        <is>
          <t>Unknown</t>
        </is>
      </c>
      <c r="P30" s="8" t="inlineStr">
        <is>
          <t>Cold; no named node.</t>
        </is>
      </c>
      <c r="Q30" s="9" t="n">
        <v>4</v>
      </c>
      <c r="R30" s="9" t="n">
        <v>2</v>
      </c>
      <c r="S30" s="9" t="n">
        <v>2</v>
      </c>
      <c r="T30" s="9" t="n">
        <v>0</v>
      </c>
      <c r="U30" s="9" t="n">
        <v>1</v>
      </c>
      <c r="V30" s="9" t="n">
        <v>5</v>
      </c>
      <c r="W30" s="10">
        <f>MAX(0,ROUND(Q30/5*Weights!$B$3+R30/5*Weights!$B$4+S30/5*Weights!$B$5+T30/5*Weights!$B$6+U30/5*Weights!$B$7+V30/5*Weights!$B$8-L30*Weights!$B$9,0))</f>
        <v>52</v>
      </c>
      <c r="X30" s="10" t="str">
        <f>IF(W30&gt;=Weights!$B$12,"A",IF(W30&gt;=Weights!$B$13,"B","C"))</f>
        <v>B</v>
      </c>
      <c r="Y30" s="11" t="inlineStr">
        <is>
          <t>Not contacted</t>
        </is>
      </c>
      <c r="Z30" s="7" t="inlineStr">
        <is>
          <t>Nate</t>
        </is>
      </c>
      <c r="AA30" s="8" t="inlineStr">
        <is>
          <t>Moderate fit (wet-lab oriented, co-invests); identify a venture-team contact.</t>
        </is>
      </c>
      <c r="AB30" s="7" t="inlineStr">
        <is>
          <t>2026-09-30</t>
        </is>
      </c>
      <c r="AC30" s="8" t="inlineStr">
        <is>
          <t>https://tracxn.com/d/venture-capital/alexandria-venture-investments/; https://pharmashots.com/23062/know-your-investor-alexandria-venture-may25-edition/</t>
        </is>
      </c>
      <c r="AD30" s="8" t="inlineStr">
        <is>
          <t>Wet-lab/therapeutics oriented; moderate fit for software IaaS. Best-fit partner Unknown; corporate domain likely @are.com (inferred).</t>
        </is>
      </c>
    </row>
    <row r="31">
      <c r="A31" s="7" t="inlineStr">
        <is>
          <t>Mayo Clinic Ventures / Platform</t>
        </is>
      </c>
      <c r="B31" s="7" t="inlineStr">
        <is>
          <t>Health-system venture + IP commercialization</t>
        </is>
      </c>
      <c r="C31" s="7" t="inlineStr">
        <is>
          <t>Rochester, MN</t>
        </is>
      </c>
      <c r="D31" s="8" t="inlineStr">
        <is>
          <t>Mayo Clinic Ventures; Platform_Accelerate + Platform_Insights (2025)</t>
        </is>
      </c>
      <c r="E31" s="8" t="inlineStr">
        <is>
          <t>IP commercialization + accelerator/co-invest; sole-lead seed unconfirmed</t>
        </is>
      </c>
      <c r="F31" s="7" t="inlineStr">
        <is>
          <t>Unknown</t>
        </is>
      </c>
      <c r="G31" s="7" t="inlineStr">
        <is>
          <t>Unknown</t>
        </is>
      </c>
      <c r="H31" s="7" t="inlineStr">
        <is>
          <t>No</t>
        </is>
      </c>
      <c r="I31" s="8" t="inlineStr">
        <is>
          <t>Large-scale clinical data (26 PB) + AI-digital-health; Platform_Accelerate cohorts of AI health-tech startups.</t>
        </is>
      </c>
      <c r="J31" s="8" t="inlineStr">
        <is>
          <t>AI + real-world clinical data + clinical-research applications, directly relevant to Foresight validation and iViz.</t>
        </is>
      </c>
      <c r="K31" s="8" t="inlineStr">
        <is>
          <t>None competing directly with Foresight/iViz identified.</t>
        </is>
      </c>
      <c r="L31" s="9" t="n">
        <v>0</v>
      </c>
      <c r="M31" s="8" t="inlineStr">
        <is>
          <t>Unknown</t>
        </is>
      </c>
      <c r="N31" s="7" t="inlineStr">
        <is>
          <t>Unknown (Mayo Clinic Ventures investment lead)</t>
        </is>
      </c>
      <c r="O31" s="7" t="inlineStr">
        <is>
          <t>Unknown</t>
        </is>
      </c>
      <c r="P31" s="8" t="inlineStr">
        <is>
          <t>Plausible via clinical/data partnership (Platform_Insights); no named node.</t>
        </is>
      </c>
      <c r="Q31" s="9" t="n">
        <v>5</v>
      </c>
      <c r="R31" s="9" t="n">
        <v>4</v>
      </c>
      <c r="S31" s="9" t="n">
        <v>2</v>
      </c>
      <c r="T31" s="9" t="n">
        <v>0</v>
      </c>
      <c r="U31" s="9" t="n">
        <v>2</v>
      </c>
      <c r="V31" s="9" t="n">
        <v>3</v>
      </c>
      <c r="W31" s="10">
        <f>MAX(0,ROUND(Q31/5*Weights!$B$3+R31/5*Weights!$B$4+S31/5*Weights!$B$5+T31/5*Weights!$B$6+U31/5*Weights!$B$7+V31/5*Weights!$B$8-L31*Weights!$B$9,0))</f>
        <v>64</v>
      </c>
      <c r="X31" s="10" t="str">
        <f>IF(W31&gt;=Weights!$B$12,"A",IF(W31&gt;=Weights!$B$13,"B","C"))</f>
        <v>B</v>
      </c>
      <c r="Y31" s="11" t="inlineStr">
        <is>
          <t>Not contacted</t>
        </is>
      </c>
      <c r="Z31" s="7" t="inlineStr">
        <is>
          <t>Nate</t>
        </is>
      </c>
      <c r="AA31" s="8" t="inlineStr">
        <is>
          <t>Pursue as validation-data + accelerator partnership as much as investment; identify contact.</t>
        </is>
      </c>
      <c r="AB31" s="7" t="inlineStr">
        <is>
          <t>2026-09-30</t>
        </is>
      </c>
      <c r="AC31" s="8" t="inlineStr">
        <is>
          <t>https://newsnetwork.mayoclinic.org/discussion/mayo-clinic-launches-mayo-clinic-platform_insights-to-advance-digital-innovation-and-quality-improvement-across-healthcare/; https://hitconsultant.net/2025/10/14/mayo-clinic-platform_accelerate-unveils-new-cohort-of-ai-health-tech-startups/</t>
        </is>
      </c>
      <c r="AD31" s="8" t="inlineStr">
        <is>
          <t>Strategic/accelerator + data partner (Platform_Insights) as much as investor. Specific investment contact + email Unknown; Mayo domain @mayo.edu.</t>
        </is>
      </c>
    </row>
  </sheetData>
  <autoFilter ref="A1:AD31"/>
  <conditionalFormatting sqref="W2:W31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31" showDropDown="0" showInputMessage="0" showErrorMessage="0" allowBlank="1" type="list">
      <formula1>"Not contacted,Researching,Intro requested,Intro made,First meeting,Diligence,Term sheet,Closed,Passed"</formula1>
    </dataValidation>
    <dataValidation sqref="Q2:Q231 R2:R231 S2:S231 T2:T231 U2:U231 V2:V231" showDropDown="0" showInputMessage="0" showErrorMessage="0" allowBlank="1" type="whole" operator="between">
      <formula1>0</formula1>
      <formula2>5</formula2>
    </dataValidation>
    <dataValidation sqref="L2:L231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Fund II ~$230M Jan 2025; leads; $1M-$25M checks</t>
        </is>
      </c>
      <c r="C20" s="7" t="inlineStr">
        <is>
          <t>Forbes</t>
        </is>
      </c>
      <c r="D20" s="8" t="inlineStr">
        <is>
          <t>https://www.forbes.com/sites/alexkonrad/2025/01/31/inside-venture-capital-great-reshuffling/</t>
        </is>
      </c>
      <c r="E20" s="7" t="inlineStr">
        <is>
          <t>2026-09-30</t>
        </is>
      </c>
    </row>
    <row r="21">
      <c r="A21" s="7" t="inlineStr">
        <is>
          <t>Conviction</t>
        </is>
      </c>
      <c r="B21" s="8" t="inlineStr">
        <is>
          <t>Applied/vertical-AI thesis names biology; OpenEvidence health holding</t>
        </is>
      </c>
      <c r="C21" s="7" t="inlineStr">
        <is>
          <t>Conviction / Forbes</t>
        </is>
      </c>
      <c r="D21" s="8" t="inlineStr">
        <is>
          <t>https://saranormous.substack.com/p/launching-with-conviction</t>
        </is>
      </c>
      <c r="E21" s="7" t="inlineStr">
        <is>
          <t>2026-09-30</t>
        </is>
      </c>
    </row>
    <row r="22">
      <c r="A22" s="7" t="inlineStr">
        <is>
          <t>Radical Ventures</t>
        </is>
      </c>
      <c r="B22" s="8" t="inlineStr">
        <is>
          <t>Fund sizes and AUM</t>
        </is>
      </c>
      <c r="C22" s="7" t="inlineStr">
        <is>
          <t>BetaKit</t>
        </is>
      </c>
      <c r="D22" s="8" t="inlineStr">
        <is>
          <t>https://betakit.com/radical-ventures-holds-650-million-usd-final-close-for-new-early-stage-ai-fund/</t>
        </is>
      </c>
      <c r="E22" s="7" t="inlineStr">
        <is>
          <t>2026-09-30</t>
        </is>
      </c>
    </row>
    <row r="23">
      <c r="A23" s="7" t="inlineStr">
        <is>
          <t>Radical Ventures</t>
        </is>
      </c>
      <c r="B23" s="8" t="inlineStr">
        <is>
          <t>AI in Sciences thesis; Unlearn.AI holding</t>
        </is>
      </c>
      <c r="C23" s="7" t="inlineStr">
        <is>
          <t>Radical Ventures</t>
        </is>
      </c>
      <c r="D23" s="8" t="inlineStr">
        <is>
          <t>https://radical.vc/investing-in-the-exponential-ai-in-sciences/</t>
        </is>
      </c>
      <c r="E23" s="7" t="inlineStr">
        <is>
          <t>2026-09-30</t>
        </is>
      </c>
    </row>
    <row r="24">
      <c r="A24" s="7" t="inlineStr">
        <is>
          <t>Basis Set Ventures</t>
        </is>
      </c>
      <c r="B24" s="8" t="inlineStr">
        <is>
          <t>Fund IV $250M Jan 2026; $2-3M seed checks</t>
        </is>
      </c>
      <c r="C24" s="7" t="inlineStr">
        <is>
          <t>Wikipedia / f4.fund</t>
        </is>
      </c>
      <c r="D24" s="8" t="inlineStr">
        <is>
          <t>https://en.wikipedia.org/wiki/Basis_Set_Ventures</t>
        </is>
      </c>
      <c r="E24" s="7" t="inlineStr">
        <is>
          <t>2026-09-30</t>
        </is>
      </c>
    </row>
    <row r="25">
      <c r="A25" s="7" t="inlineStr">
        <is>
          <t>Basis Set Ventures</t>
        </is>
      </c>
      <c r="B25" s="8" t="inlineStr">
        <is>
          <t>Life-science/healthcare sectors and holdings</t>
        </is>
      </c>
      <c r="C25" s="7" t="inlineStr">
        <is>
          <t>Firm website</t>
        </is>
      </c>
      <c r="D25" s="8" t="inlineStr">
        <is>
          <t>https://www.basisset.com/portfolio</t>
        </is>
      </c>
      <c r="E25" s="7" t="inlineStr">
        <is>
          <t>2026-09-30</t>
        </is>
      </c>
    </row>
    <row r="26">
      <c r="A26" s="7" t="inlineStr">
        <is>
          <t>Catalio Capital</t>
        </is>
      </c>
      <c r="B26" s="8" t="inlineStr">
        <is>
          <t>Nexus Fund IV &gt;$400M Jul 2025</t>
        </is>
      </c>
      <c r="C26" s="7" t="inlineStr">
        <is>
          <t>BusinessWire</t>
        </is>
      </c>
      <c r="D26" s="8" t="inlineStr">
        <is>
          <t>https://www.businesswire.com/news/home/20250701360026/en/</t>
        </is>
      </c>
      <c r="E26" s="7" t="inlineStr">
        <is>
          <t>2026-07-27</t>
        </is>
      </c>
    </row>
    <row r="27">
      <c r="A27" s="7" t="inlineStr">
        <is>
          <t>5AM Ventures</t>
        </is>
      </c>
      <c r="B27" s="8" t="inlineStr">
        <is>
          <t>5AM is a therapeutics biotech VC</t>
        </is>
      </c>
      <c r="C27" s="7" t="inlineStr">
        <is>
          <t>Firm website</t>
        </is>
      </c>
      <c r="D27" s="8" t="inlineStr">
        <is>
          <t>https://5amventures.com/team/</t>
        </is>
      </c>
      <c r="E27" s="7" t="inlineStr">
        <is>
          <t>2026-07-27</t>
        </is>
      </c>
    </row>
    <row r="28">
      <c r="A28" s="7" t="inlineStr">
        <is>
          <t>Sanofi Ventures</t>
        </is>
      </c>
      <c r="B28" s="8" t="inlineStr">
        <is>
          <t>+$625M Sep 2025, ~$1.4B AUM; digital-health/AI vertical</t>
        </is>
      </c>
      <c r="C28" s="7" t="inlineStr">
        <is>
          <t>BioSpace</t>
        </is>
      </c>
      <c r="D28" s="8" t="inlineStr">
        <is>
          <t>https://www.biospace.com/press-releases/press-release-sanofi-commits-an-additional-625-million-to-sanofi-ventures-to-accelerate-investment-in-biotech-and-digital-health-innovation</t>
        </is>
      </c>
      <c r="E28" s="7" t="inlineStr">
        <is>
          <t>2026-09-30</t>
        </is>
      </c>
    </row>
    <row r="29">
      <c r="A29" s="7" t="inlineStr">
        <is>
          <t>MSD Global Health Innovation Fund (GHIF)</t>
        </is>
      </c>
      <c r="B29" s="8" t="inlineStr">
        <is>
          <t>IDEA Studios 2024; digital-health/data-science mandate</t>
        </is>
      </c>
      <c r="C29" s="7" t="inlineStr">
        <is>
          <t>MSD</t>
        </is>
      </c>
      <c r="D29" s="8" t="inlineStr">
        <is>
          <t>https://www.msd.com/news/msd-launches-idea-studios-to-fuel-health-care-innovation/</t>
        </is>
      </c>
      <c r="E29" s="7" t="inlineStr">
        <is>
          <t>2026-09-30</t>
        </is>
      </c>
    </row>
    <row r="30">
      <c r="A30" s="7" t="inlineStr">
        <is>
          <t>Danaher Ventures</t>
        </is>
      </c>
      <c r="B30" s="8" t="inlineStr">
        <is>
          <t>Innovaccer partnership Jan 2025; Scopio Jul 2025</t>
        </is>
      </c>
      <c r="C30" s="7" t="inlineStr">
        <is>
          <t>PRNewswire / Caplight</t>
        </is>
      </c>
      <c r="D30" s="8" t="inlineStr">
        <is>
          <t>https://www.prnewswire.com/news-releases/danaher-announces-investment-partnership-in-innovaccer-inc-302347452.html</t>
        </is>
      </c>
      <c r="E30" s="7" t="inlineStr">
        <is>
          <t>2026-09-30</t>
        </is>
      </c>
    </row>
    <row r="31">
      <c r="A31" s="7" t="inlineStr">
        <is>
          <t>Thermo Fisher Strategic Capital</t>
        </is>
      </c>
      <c r="B31" s="8" t="inlineStr">
        <is>
          <t>Strategic Capital team; CytoReason backing</t>
        </is>
      </c>
      <c r="C31" s="7" t="inlineStr">
        <is>
          <t>Global Venturing</t>
        </is>
      </c>
      <c r="D31" s="8" t="inlineStr">
        <is>
          <t>https://globalventuring.com/corporate/people/thermo-fisher-scientific-brings-massey-onboard/</t>
        </is>
      </c>
      <c r="E31" s="7" t="inlineStr">
        <is>
          <t>2026-09-30</t>
        </is>
      </c>
    </row>
    <row r="32">
      <c r="A32" s="7" t="inlineStr">
        <is>
          <t>UPMC Enterprises</t>
        </is>
      </c>
      <c r="B32" s="8" t="inlineStr">
        <is>
          <t>Led Carta Healthcare Series B1 (AI clinical data)</t>
        </is>
      </c>
      <c r="C32" s="7" t="inlineStr">
        <is>
          <t>UPMC Enterprises</t>
        </is>
      </c>
      <c r="D32" s="8" t="inlineStr">
        <is>
          <t>https://enterprises.upmc.com/resources/insights/upmc-enterprises-leads-investment-round-in-carta-healthcare-to-advance-ai-powered-clinical-data-management/</t>
        </is>
      </c>
      <c r="E32" s="7" t="inlineStr">
        <is>
          <t>2026-09-30</t>
        </is>
      </c>
    </row>
    <row r="33">
      <c r="A33" s="7" t="inlineStr">
        <is>
          <t>Osage University Partners (OUP)</t>
        </is>
      </c>
      <c r="B33" s="8" t="inlineStr">
        <is>
          <t>Fund IV, ~$800M AUM, university-IP mandate</t>
        </is>
      </c>
      <c r="C33" s="7" t="inlineStr">
        <is>
          <t>Crunchbase News</t>
        </is>
      </c>
      <c r="D33" s="8" t="inlineStr">
        <is>
          <t>https://news.crunchbase.com/venture/osage-university-partners-raises-third-fund-for-university-research-spinouts/</t>
        </is>
      </c>
      <c r="E33" s="7" t="inlineStr">
        <is>
          <t>2026-09-30</t>
        </is>
      </c>
    </row>
    <row r="34">
      <c r="A34" s="7" t="inlineStr">
        <is>
          <t>The Engine Ventures</t>
        </is>
      </c>
      <c r="B34" s="8" t="inlineStr">
        <is>
          <t>Fund III $398M Jun 2024</t>
        </is>
      </c>
      <c r="C34" s="7" t="inlineStr">
        <is>
          <t>Forbes</t>
        </is>
      </c>
      <c r="D34" s="8" t="inlineStr">
        <is>
          <t>https://www.forbes.com/sites/alexknapp/2024/06/18/mit-spinout-the-engine-ventures-raises-new-400-million-fund-to-tackle-techs-toughest-problems/</t>
        </is>
      </c>
      <c r="E34" s="7" t="inlineStr">
        <is>
          <t>2026-09-30</t>
        </is>
      </c>
    </row>
    <row r="35">
      <c r="A35" s="7" t="inlineStr">
        <is>
          <t>Alexandria Venture Investments</t>
        </is>
      </c>
      <c r="B35" s="8" t="inlineStr">
        <is>
          <t>~$2.7B across 32 new companies in 2024</t>
        </is>
      </c>
      <c r="C35" s="7" t="inlineStr">
        <is>
          <t>Tracxn</t>
        </is>
      </c>
      <c r="D35" s="8" t="inlineStr">
        <is>
          <t>https://tracxn.com/d/venture-capital/alexandria-venture-investments/</t>
        </is>
      </c>
      <c r="E35" s="7" t="inlineStr">
        <is>
          <t>2026-09-30</t>
        </is>
      </c>
    </row>
    <row r="36">
      <c r="A36" s="7" t="inlineStr">
        <is>
          <t>Mayo Clinic Ventures / Platform</t>
        </is>
      </c>
      <c r="B36" s="8" t="inlineStr">
        <is>
          <t>Platform_Insights 2025; Platform_Accelerate AI cohorts</t>
        </is>
      </c>
      <c r="C36" s="7" t="inlineStr">
        <is>
          <t>Mayo Clinic</t>
        </is>
      </c>
      <c r="D36" s="8" t="inlineStr">
        <is>
          <t>https://newsnetwork.mayoclinic.org/discussion/mayo-clinic-launches-mayo-clinic-platform_insights-to-advance-digital-innovation-and-quality-improvement-across-healthcare/</t>
        </is>
      </c>
      <c r="E36" s="7" t="inlineStr">
        <is>
          <t>2026-09-30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2026-09-30T18:58:06Z</dcterms:created>
  <dcterms:modified xsi:type="dcterms:W3CDTF">2026-09-30T18:58:06Z</dcterms:modified>
</cp:coreProperties>
</file>